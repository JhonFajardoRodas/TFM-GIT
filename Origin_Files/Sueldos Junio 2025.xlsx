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jfajardo\Desktop\PROYECTOS CT-375\SUELDOS 2024\"/>
    </mc:Choice>
  </mc:AlternateContent>
  <bookViews>
    <workbookView xWindow="0" yWindow="0" windowWidth="6612" windowHeight="4584" tabRatio="453"/>
  </bookViews>
  <sheets>
    <sheet name="Junio 24 375" sheetId="5" r:id="rId1"/>
    <sheet name="Obras" sheetId="2" r:id="rId2"/>
  </sheets>
  <definedNames>
    <definedName name="_xlnm._FilterDatabase" localSheetId="0" hidden="1">'Junio 24 375'!$A$1:$BP$106</definedName>
    <definedName name="_xlnm._FilterDatabase" localSheetId="1" hidden="1">Obras!$A$1:$B$354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5" i="5" l="1"/>
  <c r="AL53" i="5"/>
  <c r="AL11" i="5"/>
  <c r="AL22" i="5"/>
  <c r="AL19" i="5"/>
  <c r="AL27" i="5"/>
  <c r="AL2" i="5"/>
  <c r="AL41" i="5"/>
  <c r="AL40" i="5"/>
  <c r="AL38" i="5"/>
  <c r="AL31" i="5"/>
  <c r="AL30" i="5"/>
  <c r="AL45" i="5"/>
  <c r="AL55" i="5"/>
  <c r="AL13" i="5"/>
  <c r="AL46" i="5"/>
  <c r="AL23" i="5"/>
  <c r="AL4" i="5"/>
  <c r="AL5" i="5"/>
  <c r="AL35" i="5"/>
  <c r="AL9" i="5"/>
  <c r="AL20" i="5"/>
  <c r="AL18" i="5"/>
  <c r="AL47" i="5"/>
  <c r="AL49" i="5"/>
  <c r="AL10" i="5"/>
  <c r="AL14" i="5"/>
  <c r="AL6" i="5"/>
  <c r="AL29" i="5"/>
  <c r="AL34" i="5"/>
  <c r="AL25" i="5"/>
  <c r="AL43" i="5"/>
  <c r="AL48" i="5"/>
  <c r="AL51" i="5"/>
  <c r="AL50" i="5"/>
  <c r="AL36" i="5"/>
  <c r="AL52" i="5"/>
  <c r="AL26" i="5"/>
  <c r="AL39" i="5"/>
  <c r="AL12" i="5"/>
  <c r="AL54" i="5"/>
  <c r="AL16" i="5"/>
  <c r="AL8" i="5"/>
  <c r="AL21" i="5"/>
  <c r="AL37" i="5"/>
  <c r="AL7" i="5"/>
  <c r="AL24" i="5"/>
  <c r="AL42" i="5"/>
  <c r="AL17" i="5"/>
  <c r="AL32" i="5"/>
  <c r="AL33" i="5"/>
  <c r="AL44" i="5"/>
  <c r="AL28" i="5"/>
  <c r="AL56" i="5"/>
  <c r="AL3" i="5"/>
  <c r="I56" i="5" l="1"/>
  <c r="BL56" i="5" l="1"/>
  <c r="BM56" i="5"/>
  <c r="BN56" i="5"/>
  <c r="G28" i="5"/>
  <c r="I28" i="5" s="1"/>
  <c r="G44" i="5"/>
  <c r="I44" i="5" s="1"/>
  <c r="G33" i="5"/>
  <c r="I33" i="5" s="1"/>
  <c r="G32" i="5"/>
  <c r="I32" i="5" s="1"/>
  <c r="G17" i="5"/>
  <c r="I17" i="5" s="1"/>
  <c r="G42" i="5"/>
  <c r="I42" i="5" s="1"/>
  <c r="G24" i="5"/>
  <c r="I24" i="5" s="1"/>
  <c r="G7" i="5"/>
  <c r="I7" i="5" s="1"/>
  <c r="G37" i="5"/>
  <c r="I37" i="5" s="1"/>
  <c r="G21" i="5"/>
  <c r="I21" i="5" s="1"/>
  <c r="G8" i="5"/>
  <c r="I8" i="5" s="1"/>
  <c r="G16" i="5"/>
  <c r="I16" i="5" s="1"/>
  <c r="G15" i="5"/>
  <c r="I15" i="5" s="1"/>
  <c r="G53" i="5"/>
  <c r="I53" i="5" s="1"/>
  <c r="G11" i="5"/>
  <c r="I11" i="5" s="1"/>
  <c r="G22" i="5"/>
  <c r="I22" i="5" s="1"/>
  <c r="G19" i="5"/>
  <c r="I19" i="5" s="1"/>
  <c r="G27" i="5"/>
  <c r="I27" i="5" s="1"/>
  <c r="G2" i="5"/>
  <c r="I2" i="5" s="1"/>
  <c r="G41" i="5"/>
  <c r="I41" i="5" s="1"/>
  <c r="G40" i="5"/>
  <c r="I40" i="5" s="1"/>
  <c r="G38" i="5"/>
  <c r="I38" i="5" s="1"/>
  <c r="G31" i="5"/>
  <c r="I31" i="5" s="1"/>
  <c r="G30" i="5"/>
  <c r="I30" i="5" s="1"/>
  <c r="G45" i="5"/>
  <c r="I45" i="5" s="1"/>
  <c r="G55" i="5"/>
  <c r="I55" i="5" s="1"/>
  <c r="G13" i="5"/>
  <c r="I13" i="5" s="1"/>
  <c r="G46" i="5"/>
  <c r="I46" i="5" s="1"/>
  <c r="G23" i="5"/>
  <c r="I23" i="5" s="1"/>
  <c r="G4" i="5"/>
  <c r="I4" i="5" s="1"/>
  <c r="G5" i="5"/>
  <c r="I5" i="5" s="1"/>
  <c r="G35" i="5"/>
  <c r="I35" i="5" s="1"/>
  <c r="G9" i="5"/>
  <c r="I9" i="5" s="1"/>
  <c r="G20" i="5"/>
  <c r="I20" i="5" s="1"/>
  <c r="G18" i="5"/>
  <c r="I18" i="5" s="1"/>
  <c r="G47" i="5"/>
  <c r="I47" i="5" s="1"/>
  <c r="G49" i="5"/>
  <c r="I49" i="5" s="1"/>
  <c r="G10" i="5"/>
  <c r="I10" i="5" s="1"/>
  <c r="G14" i="5"/>
  <c r="I14" i="5" s="1"/>
  <c r="G6" i="5"/>
  <c r="I6" i="5" s="1"/>
  <c r="G29" i="5"/>
  <c r="I29" i="5" s="1"/>
  <c r="G34" i="5"/>
  <c r="I34" i="5" s="1"/>
  <c r="G25" i="5"/>
  <c r="I25" i="5" s="1"/>
  <c r="G43" i="5"/>
  <c r="I43" i="5" s="1"/>
  <c r="G48" i="5"/>
  <c r="I48" i="5" s="1"/>
  <c r="G51" i="5"/>
  <c r="I51" i="5" s="1"/>
  <c r="G50" i="5"/>
  <c r="I50" i="5" s="1"/>
  <c r="G36" i="5"/>
  <c r="I36" i="5" s="1"/>
  <c r="G52" i="5"/>
  <c r="I52" i="5" s="1"/>
  <c r="G26" i="5"/>
  <c r="I26" i="5" s="1"/>
  <c r="G39" i="5"/>
  <c r="I39" i="5" s="1"/>
  <c r="G12" i="5"/>
  <c r="I12" i="5" s="1"/>
  <c r="G3" i="5"/>
  <c r="I3" i="5" s="1"/>
  <c r="G54" i="5"/>
  <c r="I54" i="5" s="1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BL12" i="5" l="1"/>
  <c r="BM12" i="5"/>
  <c r="BN12" i="5"/>
  <c r="BN46" i="5"/>
  <c r="BL46" i="5"/>
  <c r="BM46" i="5"/>
  <c r="BL39" i="5"/>
  <c r="BM39" i="5"/>
  <c r="BN39" i="5"/>
  <c r="BL8" i="5"/>
  <c r="BM8" i="5"/>
  <c r="BN8" i="5"/>
  <c r="BN34" i="5"/>
  <c r="BL34" i="5"/>
  <c r="BM34" i="5"/>
  <c r="BN27" i="5"/>
  <c r="BL27" i="5"/>
  <c r="BM27" i="5"/>
  <c r="BL52" i="5"/>
  <c r="BM52" i="5"/>
  <c r="BN52" i="5"/>
  <c r="BL45" i="5"/>
  <c r="BM45" i="5"/>
  <c r="BN45" i="5"/>
  <c r="BL19" i="5"/>
  <c r="BN19" i="5"/>
  <c r="BM19" i="5"/>
  <c r="BL37" i="5"/>
  <c r="BM37" i="5"/>
  <c r="BN37" i="5"/>
  <c r="BL28" i="5"/>
  <c r="BM28" i="5"/>
  <c r="BN28" i="5"/>
  <c r="BL36" i="5"/>
  <c r="BM36" i="5"/>
  <c r="BN36" i="5"/>
  <c r="BL6" i="5"/>
  <c r="BM6" i="5"/>
  <c r="BN6" i="5"/>
  <c r="BL35" i="5"/>
  <c r="BM35" i="5"/>
  <c r="BN35" i="5"/>
  <c r="BL30" i="5"/>
  <c r="BM30" i="5"/>
  <c r="BN30" i="5"/>
  <c r="BL22" i="5"/>
  <c r="BM22" i="5"/>
  <c r="BN22" i="5"/>
  <c r="BN7" i="5"/>
  <c r="BL7" i="5"/>
  <c r="BM7" i="5"/>
  <c r="BN47" i="5"/>
  <c r="BL47" i="5"/>
  <c r="BM47" i="5"/>
  <c r="BL2" i="5"/>
  <c r="BM2" i="5"/>
  <c r="BN2" i="5"/>
  <c r="BL43" i="5"/>
  <c r="BM43" i="5"/>
  <c r="BN43" i="5"/>
  <c r="BL16" i="5"/>
  <c r="BM16" i="5"/>
  <c r="BN16" i="5"/>
  <c r="BL25" i="5"/>
  <c r="BM25" i="5"/>
  <c r="BN25" i="5"/>
  <c r="BL13" i="5"/>
  <c r="BM13" i="5"/>
  <c r="BN13" i="5"/>
  <c r="BN26" i="5"/>
  <c r="BL26" i="5"/>
  <c r="BM26" i="5"/>
  <c r="BN55" i="5"/>
  <c r="BL55" i="5"/>
  <c r="BM55" i="5"/>
  <c r="BL21" i="5"/>
  <c r="BM21" i="5"/>
  <c r="BN21" i="5"/>
  <c r="BL9" i="5"/>
  <c r="BM9" i="5"/>
  <c r="BN9" i="5"/>
  <c r="BL14" i="5"/>
  <c r="BM14" i="5"/>
  <c r="BN14" i="5"/>
  <c r="BL31" i="5"/>
  <c r="BN31" i="5"/>
  <c r="BM31" i="5"/>
  <c r="BM54" i="5"/>
  <c r="BN54" i="5"/>
  <c r="BL54" i="5"/>
  <c r="BL51" i="5"/>
  <c r="BM51" i="5"/>
  <c r="BN51" i="5"/>
  <c r="BL10" i="5"/>
  <c r="BM10" i="5"/>
  <c r="BN10" i="5"/>
  <c r="BL4" i="5"/>
  <c r="BM4" i="5"/>
  <c r="BN4" i="5"/>
  <c r="BL38" i="5"/>
  <c r="BM38" i="5"/>
  <c r="BN38" i="5"/>
  <c r="BL53" i="5"/>
  <c r="BM53" i="5"/>
  <c r="BN53" i="5"/>
  <c r="BN42" i="5"/>
  <c r="BL42" i="5"/>
  <c r="BM42" i="5"/>
  <c r="BL41" i="5"/>
  <c r="BM41" i="5"/>
  <c r="BN41" i="5"/>
  <c r="BL32" i="5"/>
  <c r="BM32" i="5"/>
  <c r="BN32" i="5"/>
  <c r="BL18" i="5"/>
  <c r="BM18" i="5"/>
  <c r="BN18" i="5"/>
  <c r="BL33" i="5"/>
  <c r="BM33" i="5"/>
  <c r="BN33" i="5"/>
  <c r="BN20" i="5"/>
  <c r="BL20" i="5"/>
  <c r="BM20" i="5"/>
  <c r="BL44" i="5"/>
  <c r="BM44" i="5"/>
  <c r="BN44" i="5"/>
  <c r="BL29" i="5"/>
  <c r="BN29" i="5"/>
  <c r="BM29" i="5"/>
  <c r="BL50" i="5"/>
  <c r="BN50" i="5"/>
  <c r="BM50" i="5"/>
  <c r="BL5" i="5"/>
  <c r="BM5" i="5"/>
  <c r="BN5" i="5"/>
  <c r="BN11" i="5"/>
  <c r="BL11" i="5"/>
  <c r="BM11" i="5"/>
  <c r="BL24" i="5"/>
  <c r="BM24" i="5"/>
  <c r="BN24" i="5"/>
  <c r="BN3" i="5"/>
  <c r="BL3" i="5"/>
  <c r="BM3" i="5"/>
  <c r="BL48" i="5"/>
  <c r="BM48" i="5"/>
  <c r="BN48" i="5"/>
  <c r="BM49" i="5"/>
  <c r="BN49" i="5"/>
  <c r="BL49" i="5"/>
  <c r="BM23" i="5"/>
  <c r="BN23" i="5"/>
  <c r="BL23" i="5"/>
  <c r="BM40" i="5"/>
  <c r="BN40" i="5"/>
  <c r="BL40" i="5"/>
  <c r="BM15" i="5"/>
  <c r="BN15" i="5"/>
  <c r="BL15" i="5"/>
  <c r="BM17" i="5"/>
  <c r="BN17" i="5"/>
  <c r="BL17" i="5"/>
  <c r="I58" i="5"/>
  <c r="BH51" i="5"/>
  <c r="BK51" i="5"/>
  <c r="BI51" i="5"/>
  <c r="BJ51" i="5"/>
  <c r="BH53" i="5"/>
  <c r="BK53" i="5"/>
  <c r="BI53" i="5"/>
  <c r="BJ53" i="5"/>
  <c r="BH49" i="5"/>
  <c r="BI49" i="5"/>
  <c r="BJ49" i="5"/>
  <c r="BK49" i="5"/>
  <c r="BH15" i="5"/>
  <c r="BI15" i="5"/>
  <c r="BJ15" i="5"/>
  <c r="BK15" i="5"/>
  <c r="BK47" i="5"/>
  <c r="BH47" i="5"/>
  <c r="BI47" i="5"/>
  <c r="BJ47" i="5"/>
  <c r="BH32" i="5"/>
  <c r="BI32" i="5"/>
  <c r="BJ32" i="5"/>
  <c r="BK32" i="5"/>
  <c r="BH25" i="5"/>
  <c r="BI25" i="5"/>
  <c r="BJ25" i="5"/>
  <c r="BK25" i="5"/>
  <c r="BH33" i="5"/>
  <c r="BI33" i="5"/>
  <c r="BK33" i="5"/>
  <c r="BJ33" i="5"/>
  <c r="BH26" i="5"/>
  <c r="BI26" i="5"/>
  <c r="BJ26" i="5"/>
  <c r="BK26" i="5"/>
  <c r="BH34" i="5"/>
  <c r="BI34" i="5"/>
  <c r="BK34" i="5"/>
  <c r="BJ34" i="5"/>
  <c r="BH20" i="5"/>
  <c r="BK20" i="5"/>
  <c r="BI20" i="5"/>
  <c r="BJ20" i="5"/>
  <c r="BH55" i="5"/>
  <c r="BK55" i="5"/>
  <c r="BI55" i="5"/>
  <c r="BJ55" i="5"/>
  <c r="BK27" i="5"/>
  <c r="BH27" i="5"/>
  <c r="BI27" i="5"/>
  <c r="BJ27" i="5"/>
  <c r="BH21" i="5"/>
  <c r="BI21" i="5"/>
  <c r="BJ21" i="5"/>
  <c r="BK21" i="5"/>
  <c r="BH44" i="5"/>
  <c r="BI44" i="5"/>
  <c r="BJ44" i="5"/>
  <c r="BK44" i="5"/>
  <c r="BH4" i="5"/>
  <c r="BI4" i="5"/>
  <c r="BJ4" i="5"/>
  <c r="BK4" i="5"/>
  <c r="BH3" i="5"/>
  <c r="BI3" i="5"/>
  <c r="BJ3" i="5"/>
  <c r="BK3" i="5"/>
  <c r="BH23" i="5"/>
  <c r="BI23" i="5"/>
  <c r="BJ23" i="5"/>
  <c r="BK23" i="5"/>
  <c r="BK16" i="5"/>
  <c r="BH16" i="5"/>
  <c r="BI16" i="5"/>
  <c r="BJ16" i="5"/>
  <c r="BH13" i="5"/>
  <c r="BI13" i="5"/>
  <c r="BJ13" i="5"/>
  <c r="BK13" i="5"/>
  <c r="BH52" i="5"/>
  <c r="BI52" i="5"/>
  <c r="BJ52" i="5"/>
  <c r="BK52" i="5"/>
  <c r="BH29" i="5"/>
  <c r="BI29" i="5"/>
  <c r="BJ29" i="5"/>
  <c r="BK29" i="5"/>
  <c r="BH9" i="5"/>
  <c r="BI9" i="5"/>
  <c r="BJ9" i="5"/>
  <c r="BK9" i="5"/>
  <c r="BH45" i="5"/>
  <c r="BI45" i="5"/>
  <c r="BJ45" i="5"/>
  <c r="BK45" i="5"/>
  <c r="BH19" i="5"/>
  <c r="BI19" i="5"/>
  <c r="BJ19" i="5"/>
  <c r="BK19" i="5"/>
  <c r="BH37" i="5"/>
  <c r="BK37" i="5"/>
  <c r="BI37" i="5"/>
  <c r="BJ37" i="5"/>
  <c r="BH28" i="5"/>
  <c r="BI28" i="5"/>
  <c r="BJ28" i="5"/>
  <c r="BK28" i="5"/>
  <c r="BH10" i="5"/>
  <c r="BI10" i="5"/>
  <c r="BJ10" i="5"/>
  <c r="BK10" i="5"/>
  <c r="BH38" i="5"/>
  <c r="BI38" i="5"/>
  <c r="BJ38" i="5"/>
  <c r="BK38" i="5"/>
  <c r="BH40" i="5"/>
  <c r="BI40" i="5"/>
  <c r="BJ40" i="5"/>
  <c r="BK40" i="5"/>
  <c r="BH12" i="5"/>
  <c r="BI12" i="5"/>
  <c r="BK12" i="5"/>
  <c r="BJ12" i="5"/>
  <c r="BK46" i="5"/>
  <c r="BH46" i="5"/>
  <c r="BI46" i="5"/>
  <c r="BJ46" i="5"/>
  <c r="BH39" i="5"/>
  <c r="BI39" i="5"/>
  <c r="BJ39" i="5"/>
  <c r="BK39" i="5"/>
  <c r="BH2" i="5"/>
  <c r="BI2" i="5"/>
  <c r="BJ2" i="5"/>
  <c r="BK2" i="5"/>
  <c r="BH36" i="5"/>
  <c r="BK36" i="5"/>
  <c r="BI36" i="5"/>
  <c r="BJ36" i="5"/>
  <c r="BH6" i="5"/>
  <c r="BK6" i="5"/>
  <c r="BI6" i="5"/>
  <c r="BJ6" i="5"/>
  <c r="BH35" i="5"/>
  <c r="BI35" i="5"/>
  <c r="BK35" i="5"/>
  <c r="BJ35" i="5"/>
  <c r="BK30" i="5"/>
  <c r="BH30" i="5"/>
  <c r="BI30" i="5"/>
  <c r="BJ30" i="5"/>
  <c r="BH22" i="5"/>
  <c r="BI22" i="5"/>
  <c r="BK22" i="5"/>
  <c r="BJ22" i="5"/>
  <c r="BH7" i="5"/>
  <c r="BI7" i="5"/>
  <c r="BJ7" i="5"/>
  <c r="BK7" i="5"/>
  <c r="BH42" i="5"/>
  <c r="BI42" i="5"/>
  <c r="BJ42" i="5"/>
  <c r="BK42" i="5"/>
  <c r="BH48" i="5"/>
  <c r="BI48" i="5"/>
  <c r="BJ48" i="5"/>
  <c r="BK48" i="5"/>
  <c r="BH17" i="5"/>
  <c r="BK17" i="5"/>
  <c r="BI17" i="5"/>
  <c r="BJ17" i="5"/>
  <c r="BK43" i="5"/>
  <c r="BH43" i="5"/>
  <c r="BI43" i="5"/>
  <c r="BJ43" i="5"/>
  <c r="BH41" i="5"/>
  <c r="BK41" i="5"/>
  <c r="BI41" i="5"/>
  <c r="BJ41" i="5"/>
  <c r="BH18" i="5"/>
  <c r="BI18" i="5"/>
  <c r="BJ18" i="5"/>
  <c r="BK18" i="5"/>
  <c r="BH8" i="5"/>
  <c r="BI8" i="5"/>
  <c r="BK8" i="5"/>
  <c r="BJ8" i="5"/>
  <c r="BH54" i="5"/>
  <c r="BI54" i="5"/>
  <c r="BJ54" i="5"/>
  <c r="BK54" i="5"/>
  <c r="BH50" i="5"/>
  <c r="BI50" i="5"/>
  <c r="BJ50" i="5"/>
  <c r="BK50" i="5"/>
  <c r="BH14" i="5"/>
  <c r="BI14" i="5"/>
  <c r="BJ14" i="5"/>
  <c r="BK14" i="5"/>
  <c r="BH5" i="5"/>
  <c r="BI5" i="5"/>
  <c r="BJ5" i="5"/>
  <c r="BK5" i="5"/>
  <c r="BH31" i="5"/>
  <c r="BI31" i="5"/>
  <c r="BJ31" i="5"/>
  <c r="BK31" i="5"/>
  <c r="BH11" i="5"/>
  <c r="BI11" i="5"/>
  <c r="BJ11" i="5"/>
  <c r="BK11" i="5"/>
  <c r="BK24" i="5"/>
  <c r="BH24" i="5"/>
  <c r="BI24" i="5"/>
  <c r="BJ24" i="5"/>
  <c r="BK56" i="5"/>
  <c r="BH56" i="5"/>
  <c r="BI56" i="5"/>
  <c r="BJ56" i="5"/>
  <c r="BG56" i="5"/>
  <c r="AN10" i="5"/>
  <c r="AV10" i="5"/>
  <c r="BD10" i="5"/>
  <c r="AP10" i="5"/>
  <c r="AX10" i="5"/>
  <c r="BF10" i="5"/>
  <c r="AR10" i="5"/>
  <c r="AZ10" i="5"/>
  <c r="AU10" i="5"/>
  <c r="AW10" i="5"/>
  <c r="AY10" i="5"/>
  <c r="AM10" i="5"/>
  <c r="BA10" i="5"/>
  <c r="AO10" i="5"/>
  <c r="BB10" i="5"/>
  <c r="BC10" i="5"/>
  <c r="BE10" i="5"/>
  <c r="BG10" i="5"/>
  <c r="AQ10" i="5"/>
  <c r="AS10" i="5"/>
  <c r="AT10" i="5"/>
  <c r="AM53" i="5"/>
  <c r="AU53" i="5"/>
  <c r="BC53" i="5"/>
  <c r="AN53" i="5"/>
  <c r="AV53" i="5"/>
  <c r="BD53" i="5"/>
  <c r="AO53" i="5"/>
  <c r="AW53" i="5"/>
  <c r="BE53" i="5"/>
  <c r="AP53" i="5"/>
  <c r="AX53" i="5"/>
  <c r="BF53" i="5"/>
  <c r="AR53" i="5"/>
  <c r="AZ53" i="5"/>
  <c r="BB53" i="5"/>
  <c r="BG53" i="5"/>
  <c r="AQ53" i="5"/>
  <c r="AS53" i="5"/>
  <c r="AY53" i="5"/>
  <c r="BA53" i="5"/>
  <c r="AT53" i="5"/>
  <c r="AO49" i="5"/>
  <c r="AW49" i="5"/>
  <c r="BE49" i="5"/>
  <c r="AQ49" i="5"/>
  <c r="AY49" i="5"/>
  <c r="BG49" i="5"/>
  <c r="AS49" i="5"/>
  <c r="BA49" i="5"/>
  <c r="AV49" i="5"/>
  <c r="AX49" i="5"/>
  <c r="AM49" i="5"/>
  <c r="AZ49" i="5"/>
  <c r="AN49" i="5"/>
  <c r="BB49" i="5"/>
  <c r="AP49" i="5"/>
  <c r="BC49" i="5"/>
  <c r="BF49" i="5"/>
  <c r="AT49" i="5"/>
  <c r="AU49" i="5"/>
  <c r="BD49" i="5"/>
  <c r="AR49" i="5"/>
  <c r="AN15" i="5"/>
  <c r="AV15" i="5"/>
  <c r="BD15" i="5"/>
  <c r="AO15" i="5"/>
  <c r="AW15" i="5"/>
  <c r="BE15" i="5"/>
  <c r="AP15" i="5"/>
  <c r="AX15" i="5"/>
  <c r="BF15" i="5"/>
  <c r="AQ15" i="5"/>
  <c r="AY15" i="5"/>
  <c r="BG15" i="5"/>
  <c r="AS15" i="5"/>
  <c r="BA15" i="5"/>
  <c r="AM15" i="5"/>
  <c r="AR15" i="5"/>
  <c r="AT15" i="5"/>
  <c r="AU15" i="5"/>
  <c r="AZ15" i="5"/>
  <c r="BB15" i="5"/>
  <c r="BC15" i="5"/>
  <c r="AP43" i="5"/>
  <c r="AX43" i="5"/>
  <c r="BF43" i="5"/>
  <c r="AR43" i="5"/>
  <c r="AZ43" i="5"/>
  <c r="AT43" i="5"/>
  <c r="BB43" i="5"/>
  <c r="AW43" i="5"/>
  <c r="AM43" i="5"/>
  <c r="AY43" i="5"/>
  <c r="AN43" i="5"/>
  <c r="BA43" i="5"/>
  <c r="AO43" i="5"/>
  <c r="BC43" i="5"/>
  <c r="AQ43" i="5"/>
  <c r="BD43" i="5"/>
  <c r="BE43" i="5"/>
  <c r="BG43" i="5"/>
  <c r="AS43" i="5"/>
  <c r="AU43" i="5"/>
  <c r="AV43" i="5"/>
  <c r="AO41" i="5"/>
  <c r="AW41" i="5"/>
  <c r="BE41" i="5"/>
  <c r="AP41" i="5"/>
  <c r="AX41" i="5"/>
  <c r="BF41" i="5"/>
  <c r="AQ41" i="5"/>
  <c r="AY41" i="5"/>
  <c r="BG41" i="5"/>
  <c r="AR41" i="5"/>
  <c r="AZ41" i="5"/>
  <c r="AT41" i="5"/>
  <c r="BB41" i="5"/>
  <c r="BA41" i="5"/>
  <c r="BC41" i="5"/>
  <c r="BD41" i="5"/>
  <c r="AM41" i="5"/>
  <c r="AN41" i="5"/>
  <c r="AV41" i="5"/>
  <c r="AS41" i="5"/>
  <c r="AU41" i="5"/>
  <c r="AM39" i="5"/>
  <c r="AU39" i="5"/>
  <c r="BC39" i="5"/>
  <c r="AN39" i="5"/>
  <c r="AV39" i="5"/>
  <c r="BD39" i="5"/>
  <c r="AO39" i="5"/>
  <c r="AW39" i="5"/>
  <c r="BE39" i="5"/>
  <c r="AP39" i="5"/>
  <c r="AX39" i="5"/>
  <c r="BF39" i="5"/>
  <c r="AQ39" i="5"/>
  <c r="AY39" i="5"/>
  <c r="BG39" i="5"/>
  <c r="AR39" i="5"/>
  <c r="AS39" i="5"/>
  <c r="AT39" i="5"/>
  <c r="BB39" i="5"/>
  <c r="AZ39" i="5"/>
  <c r="BA39" i="5"/>
  <c r="AP13" i="5"/>
  <c r="AX13" i="5"/>
  <c r="BF13" i="5"/>
  <c r="AQ13" i="5"/>
  <c r="AY13" i="5"/>
  <c r="BG13" i="5"/>
  <c r="AR13" i="5"/>
  <c r="AZ13" i="5"/>
  <c r="AS13" i="5"/>
  <c r="BA13" i="5"/>
  <c r="AM13" i="5"/>
  <c r="AU13" i="5"/>
  <c r="BC13" i="5"/>
  <c r="AT13" i="5"/>
  <c r="AV13" i="5"/>
  <c r="AW13" i="5"/>
  <c r="BB13" i="5"/>
  <c r="BD13" i="5"/>
  <c r="BE13" i="5"/>
  <c r="AN13" i="5"/>
  <c r="AO13" i="5"/>
  <c r="AQ20" i="5"/>
  <c r="AY20" i="5"/>
  <c r="BG20" i="5"/>
  <c r="AR20" i="5"/>
  <c r="AZ20" i="5"/>
  <c r="AT20" i="5"/>
  <c r="BB20" i="5"/>
  <c r="AN20" i="5"/>
  <c r="AV20" i="5"/>
  <c r="BD20" i="5"/>
  <c r="BA20" i="5"/>
  <c r="AM20" i="5"/>
  <c r="BC20" i="5"/>
  <c r="AO20" i="5"/>
  <c r="BE20" i="5"/>
  <c r="AP20" i="5"/>
  <c r="BF20" i="5"/>
  <c r="AS20" i="5"/>
  <c r="AX20" i="5"/>
  <c r="AU20" i="5"/>
  <c r="AW20" i="5"/>
  <c r="AQ55" i="5"/>
  <c r="AY55" i="5"/>
  <c r="BG55" i="5"/>
  <c r="AR55" i="5"/>
  <c r="AZ55" i="5"/>
  <c r="AS55" i="5"/>
  <c r="BA55" i="5"/>
  <c r="AT55" i="5"/>
  <c r="BB55" i="5"/>
  <c r="AN55" i="5"/>
  <c r="AV55" i="5"/>
  <c r="BD55" i="5"/>
  <c r="BE55" i="5"/>
  <c r="AM55" i="5"/>
  <c r="BF55" i="5"/>
  <c r="AO55" i="5"/>
  <c r="AP55" i="5"/>
  <c r="AU55" i="5"/>
  <c r="AX55" i="5"/>
  <c r="BC55" i="5"/>
  <c r="AW55" i="5"/>
  <c r="AQ27" i="5"/>
  <c r="AY27" i="5"/>
  <c r="BG27" i="5"/>
  <c r="AR27" i="5"/>
  <c r="AZ27" i="5"/>
  <c r="AS27" i="5"/>
  <c r="BA27" i="5"/>
  <c r="AT27" i="5"/>
  <c r="BB27" i="5"/>
  <c r="AN27" i="5"/>
  <c r="AV27" i="5"/>
  <c r="BD27" i="5"/>
  <c r="BC27" i="5"/>
  <c r="BE27" i="5"/>
  <c r="AM27" i="5"/>
  <c r="BF27" i="5"/>
  <c r="AO27" i="5"/>
  <c r="AP27" i="5"/>
  <c r="AU27" i="5"/>
  <c r="AW27" i="5"/>
  <c r="AX27" i="5"/>
  <c r="AS21" i="5"/>
  <c r="BA21" i="5"/>
  <c r="AT21" i="5"/>
  <c r="BB21" i="5"/>
  <c r="AM21" i="5"/>
  <c r="AU21" i="5"/>
  <c r="BC21" i="5"/>
  <c r="AN21" i="5"/>
  <c r="AV21" i="5"/>
  <c r="BD21" i="5"/>
  <c r="AO21" i="5"/>
  <c r="AW21" i="5"/>
  <c r="BE21" i="5"/>
  <c r="AR21" i="5"/>
  <c r="AY21" i="5"/>
  <c r="BG21" i="5"/>
  <c r="AP21" i="5"/>
  <c r="AQ21" i="5"/>
  <c r="AX21" i="5"/>
  <c r="AZ21" i="5"/>
  <c r="BF21" i="5"/>
  <c r="AQ44" i="5"/>
  <c r="AY44" i="5"/>
  <c r="BG44" i="5"/>
  <c r="AS44" i="5"/>
  <c r="BA44" i="5"/>
  <c r="AN44" i="5"/>
  <c r="AV44" i="5"/>
  <c r="BD44" i="5"/>
  <c r="AX44" i="5"/>
  <c r="AM44" i="5"/>
  <c r="AZ44" i="5"/>
  <c r="AO44" i="5"/>
  <c r="BB44" i="5"/>
  <c r="AP44" i="5"/>
  <c r="BC44" i="5"/>
  <c r="AR44" i="5"/>
  <c r="BE44" i="5"/>
  <c r="AT44" i="5"/>
  <c r="BF44" i="5"/>
  <c r="AU44" i="5"/>
  <c r="AW44" i="5"/>
  <c r="AM4" i="5"/>
  <c r="AU4" i="5"/>
  <c r="BC4" i="5"/>
  <c r="AN4" i="5"/>
  <c r="AV4" i="5"/>
  <c r="BD4" i="5"/>
  <c r="AO4" i="5"/>
  <c r="AW4" i="5"/>
  <c r="BE4" i="5"/>
  <c r="AP4" i="5"/>
  <c r="AX4" i="5"/>
  <c r="BF4" i="5"/>
  <c r="AR4" i="5"/>
  <c r="AZ4" i="5"/>
  <c r="AQ4" i="5"/>
  <c r="AS4" i="5"/>
  <c r="AT4" i="5"/>
  <c r="AY4" i="5"/>
  <c r="BA4" i="5"/>
  <c r="BB4" i="5"/>
  <c r="BG4" i="5"/>
  <c r="AO42" i="5"/>
  <c r="AW42" i="5"/>
  <c r="BE42" i="5"/>
  <c r="AP42" i="5"/>
  <c r="AX42" i="5"/>
  <c r="BF42" i="5"/>
  <c r="AQ42" i="5"/>
  <c r="AY42" i="5"/>
  <c r="BG42" i="5"/>
  <c r="AR42" i="5"/>
  <c r="AZ42" i="5"/>
  <c r="AS42" i="5"/>
  <c r="BA42" i="5"/>
  <c r="BD42" i="5"/>
  <c r="AN42" i="5"/>
  <c r="AV42" i="5"/>
  <c r="BB42" i="5"/>
  <c r="AM42" i="5"/>
  <c r="AT42" i="5"/>
  <c r="AU42" i="5"/>
  <c r="BC42" i="5"/>
  <c r="AN23" i="5"/>
  <c r="AV23" i="5"/>
  <c r="BD23" i="5"/>
  <c r="AO23" i="5"/>
  <c r="AW23" i="5"/>
  <c r="BE23" i="5"/>
  <c r="AP23" i="5"/>
  <c r="AX23" i="5"/>
  <c r="BF23" i="5"/>
  <c r="AQ23" i="5"/>
  <c r="AY23" i="5"/>
  <c r="BG23" i="5"/>
  <c r="AS23" i="5"/>
  <c r="BA23" i="5"/>
  <c r="AT23" i="5"/>
  <c r="AU23" i="5"/>
  <c r="AZ23" i="5"/>
  <c r="BB23" i="5"/>
  <c r="BC23" i="5"/>
  <c r="AR23" i="5"/>
  <c r="AM23" i="5"/>
  <c r="AT12" i="5"/>
  <c r="BB12" i="5"/>
  <c r="AM12" i="5"/>
  <c r="AU12" i="5"/>
  <c r="BC12" i="5"/>
  <c r="AN12" i="5"/>
  <c r="AV12" i="5"/>
  <c r="BD12" i="5"/>
  <c r="AO12" i="5"/>
  <c r="AW12" i="5"/>
  <c r="BE12" i="5"/>
  <c r="AP12" i="5"/>
  <c r="AX12" i="5"/>
  <c r="BF12" i="5"/>
  <c r="BG12" i="5"/>
  <c r="AQ12" i="5"/>
  <c r="AY12" i="5"/>
  <c r="AZ12" i="5"/>
  <c r="BA12" i="5"/>
  <c r="AS12" i="5"/>
  <c r="AR12" i="5"/>
  <c r="AS32" i="5"/>
  <c r="BA32" i="5"/>
  <c r="AM32" i="5"/>
  <c r="AU32" i="5"/>
  <c r="BC32" i="5"/>
  <c r="AP32" i="5"/>
  <c r="AX32" i="5"/>
  <c r="BF32" i="5"/>
  <c r="AQ32" i="5"/>
  <c r="AY32" i="5"/>
  <c r="BG32" i="5"/>
  <c r="AZ32" i="5"/>
  <c r="BB32" i="5"/>
  <c r="AN32" i="5"/>
  <c r="BD32" i="5"/>
  <c r="AW32" i="5"/>
  <c r="AO32" i="5"/>
  <c r="BE32" i="5"/>
  <c r="AR32" i="5"/>
  <c r="AT32" i="5"/>
  <c r="AV32" i="5"/>
  <c r="AP18" i="5"/>
  <c r="AQ18" i="5"/>
  <c r="AY18" i="5"/>
  <c r="BG18" i="5"/>
  <c r="AS18" i="5"/>
  <c r="BA18" i="5"/>
  <c r="AM18" i="5"/>
  <c r="AU18" i="5"/>
  <c r="BC18" i="5"/>
  <c r="AN18" i="5"/>
  <c r="BB18" i="5"/>
  <c r="AO18" i="5"/>
  <c r="BD18" i="5"/>
  <c r="AR18" i="5"/>
  <c r="BE18" i="5"/>
  <c r="AT18" i="5"/>
  <c r="BF18" i="5"/>
  <c r="AV18" i="5"/>
  <c r="AW18" i="5"/>
  <c r="AX18" i="5"/>
  <c r="AZ18" i="5"/>
  <c r="AP2" i="5"/>
  <c r="AX2" i="5"/>
  <c r="BF2" i="5"/>
  <c r="AQ2" i="5"/>
  <c r="AY2" i="5"/>
  <c r="BG2" i="5"/>
  <c r="AR2" i="5"/>
  <c r="AZ2" i="5"/>
  <c r="AS2" i="5"/>
  <c r="BA2" i="5"/>
  <c r="AM2" i="5"/>
  <c r="AU2" i="5"/>
  <c r="BC2" i="5"/>
  <c r="AO2" i="5"/>
  <c r="AT2" i="5"/>
  <c r="AV2" i="5"/>
  <c r="AW2" i="5"/>
  <c r="BB2" i="5"/>
  <c r="BD2" i="5"/>
  <c r="BE2" i="5"/>
  <c r="AN2" i="5"/>
  <c r="AN26" i="5"/>
  <c r="AV26" i="5"/>
  <c r="BD26" i="5"/>
  <c r="AO26" i="5"/>
  <c r="AW26" i="5"/>
  <c r="BE26" i="5"/>
  <c r="AP26" i="5"/>
  <c r="AX26" i="5"/>
  <c r="BF26" i="5"/>
  <c r="AQ26" i="5"/>
  <c r="AY26" i="5"/>
  <c r="BG26" i="5"/>
  <c r="AR26" i="5"/>
  <c r="AZ26" i="5"/>
  <c r="AU26" i="5"/>
  <c r="BA26" i="5"/>
  <c r="BB26" i="5"/>
  <c r="AM26" i="5"/>
  <c r="AS26" i="5"/>
  <c r="AT26" i="5"/>
  <c r="BC26" i="5"/>
  <c r="AO52" i="5"/>
  <c r="AW52" i="5"/>
  <c r="BE52" i="5"/>
  <c r="AP52" i="5"/>
  <c r="AX52" i="5"/>
  <c r="BF52" i="5"/>
  <c r="AQ52" i="5"/>
  <c r="AY52" i="5"/>
  <c r="BG52" i="5"/>
  <c r="AR52" i="5"/>
  <c r="AZ52" i="5"/>
  <c r="AS52" i="5"/>
  <c r="BA52" i="5"/>
  <c r="BD52" i="5"/>
  <c r="AM52" i="5"/>
  <c r="AN52" i="5"/>
  <c r="AV52" i="5"/>
  <c r="BB52" i="5"/>
  <c r="AT52" i="5"/>
  <c r="AU52" i="5"/>
  <c r="BC52" i="5"/>
  <c r="AS29" i="5"/>
  <c r="BA29" i="5"/>
  <c r="AM29" i="5"/>
  <c r="AU29" i="5"/>
  <c r="BC29" i="5"/>
  <c r="AO29" i="5"/>
  <c r="AW29" i="5"/>
  <c r="BE29" i="5"/>
  <c r="AR29" i="5"/>
  <c r="BF29" i="5"/>
  <c r="AT29" i="5"/>
  <c r="BG29" i="5"/>
  <c r="AV29" i="5"/>
  <c r="AX29" i="5"/>
  <c r="AY29" i="5"/>
  <c r="BD29" i="5"/>
  <c r="AQ29" i="5"/>
  <c r="AZ29" i="5"/>
  <c r="AP29" i="5"/>
  <c r="BB29" i="5"/>
  <c r="AN29" i="5"/>
  <c r="AR9" i="5"/>
  <c r="AZ9" i="5"/>
  <c r="AS9" i="5"/>
  <c r="BA9" i="5"/>
  <c r="AT9" i="5"/>
  <c r="AM9" i="5"/>
  <c r="AU9" i="5"/>
  <c r="BC9" i="5"/>
  <c r="AO9" i="5"/>
  <c r="AW9" i="5"/>
  <c r="BE9" i="5"/>
  <c r="AY9" i="5"/>
  <c r="BB9" i="5"/>
  <c r="BD9" i="5"/>
  <c r="AN9" i="5"/>
  <c r="BF9" i="5"/>
  <c r="AP9" i="5"/>
  <c r="BG9" i="5"/>
  <c r="AV9" i="5"/>
  <c r="AX9" i="5"/>
  <c r="AQ9" i="5"/>
  <c r="AR45" i="5"/>
  <c r="AZ45" i="5"/>
  <c r="AS45" i="5"/>
  <c r="BA45" i="5"/>
  <c r="AT45" i="5"/>
  <c r="BB45" i="5"/>
  <c r="AM45" i="5"/>
  <c r="AU45" i="5"/>
  <c r="BC45" i="5"/>
  <c r="AO45" i="5"/>
  <c r="AW45" i="5"/>
  <c r="BE45" i="5"/>
  <c r="AX45" i="5"/>
  <c r="AY45" i="5"/>
  <c r="BD45" i="5"/>
  <c r="BF45" i="5"/>
  <c r="AN45" i="5"/>
  <c r="BG45" i="5"/>
  <c r="AP45" i="5"/>
  <c r="AQ45" i="5"/>
  <c r="AV45" i="5"/>
  <c r="AR19" i="5"/>
  <c r="AZ19" i="5"/>
  <c r="AS19" i="5"/>
  <c r="BA19" i="5"/>
  <c r="AT19" i="5"/>
  <c r="BB19" i="5"/>
  <c r="AM19" i="5"/>
  <c r="AU19" i="5"/>
  <c r="BC19" i="5"/>
  <c r="AO19" i="5"/>
  <c r="AW19" i="5"/>
  <c r="BE19" i="5"/>
  <c r="AV19" i="5"/>
  <c r="AX19" i="5"/>
  <c r="AY19" i="5"/>
  <c r="BD19" i="5"/>
  <c r="BF19" i="5"/>
  <c r="AN19" i="5"/>
  <c r="AP19" i="5"/>
  <c r="AQ19" i="5"/>
  <c r="BG19" i="5"/>
  <c r="AR37" i="5"/>
  <c r="AZ37" i="5"/>
  <c r="AS37" i="5"/>
  <c r="BA37" i="5"/>
  <c r="AT37" i="5"/>
  <c r="BB37" i="5"/>
  <c r="AM37" i="5"/>
  <c r="AU37" i="5"/>
  <c r="BC37" i="5"/>
  <c r="AN37" i="5"/>
  <c r="AV37" i="5"/>
  <c r="BD37" i="5"/>
  <c r="BE37" i="5"/>
  <c r="AO37" i="5"/>
  <c r="BG37" i="5"/>
  <c r="AW37" i="5"/>
  <c r="AX37" i="5"/>
  <c r="AP37" i="5"/>
  <c r="AQ37" i="5"/>
  <c r="AY37" i="5"/>
  <c r="BF37" i="5"/>
  <c r="AP28" i="5"/>
  <c r="AX28" i="5"/>
  <c r="BF28" i="5"/>
  <c r="AR28" i="5"/>
  <c r="AZ28" i="5"/>
  <c r="AM28" i="5"/>
  <c r="AU28" i="5"/>
  <c r="BC28" i="5"/>
  <c r="AW28" i="5"/>
  <c r="AY28" i="5"/>
  <c r="AN28" i="5"/>
  <c r="BA28" i="5"/>
  <c r="AV28" i="5"/>
  <c r="AO28" i="5"/>
  <c r="BB28" i="5"/>
  <c r="AQ28" i="5"/>
  <c r="BD28" i="5"/>
  <c r="AS28" i="5"/>
  <c r="BE28" i="5"/>
  <c r="AT28" i="5"/>
  <c r="BG28" i="5"/>
  <c r="AR51" i="5"/>
  <c r="AZ51" i="5"/>
  <c r="AS51" i="5"/>
  <c r="BA51" i="5"/>
  <c r="AT51" i="5"/>
  <c r="BB51" i="5"/>
  <c r="AM51" i="5"/>
  <c r="AU51" i="5"/>
  <c r="BC51" i="5"/>
  <c r="AN51" i="5"/>
  <c r="AV51" i="5"/>
  <c r="BD51" i="5"/>
  <c r="BE51" i="5"/>
  <c r="BF51" i="5"/>
  <c r="AO51" i="5"/>
  <c r="BG51" i="5"/>
  <c r="AW51" i="5"/>
  <c r="AX51" i="5"/>
  <c r="AP51" i="5"/>
  <c r="AQ51" i="5"/>
  <c r="AY51" i="5"/>
  <c r="AN3" i="5"/>
  <c r="AV3" i="5"/>
  <c r="BD3" i="5"/>
  <c r="AP3" i="5"/>
  <c r="AX3" i="5"/>
  <c r="BF3" i="5"/>
  <c r="AS3" i="5"/>
  <c r="BA3" i="5"/>
  <c r="AT3" i="5"/>
  <c r="BG3" i="5"/>
  <c r="AU3" i="5"/>
  <c r="AM3" i="5"/>
  <c r="AW3" i="5"/>
  <c r="AY3" i="5"/>
  <c r="AZ3" i="5"/>
  <c r="AO3" i="5"/>
  <c r="BB3" i="5"/>
  <c r="AQ3" i="5"/>
  <c r="BC3" i="5"/>
  <c r="AR3" i="5"/>
  <c r="BE3" i="5"/>
  <c r="AN40" i="5"/>
  <c r="AV40" i="5"/>
  <c r="BD40" i="5"/>
  <c r="AO40" i="5"/>
  <c r="AW40" i="5"/>
  <c r="BE40" i="5"/>
  <c r="AP40" i="5"/>
  <c r="AX40" i="5"/>
  <c r="BF40" i="5"/>
  <c r="AQ40" i="5"/>
  <c r="AY40" i="5"/>
  <c r="BG40" i="5"/>
  <c r="AS40" i="5"/>
  <c r="BA40" i="5"/>
  <c r="AR40" i="5"/>
  <c r="AT40" i="5"/>
  <c r="AU40" i="5"/>
  <c r="AZ40" i="5"/>
  <c r="BB40" i="5"/>
  <c r="AM40" i="5"/>
  <c r="BC40" i="5"/>
  <c r="AP47" i="5"/>
  <c r="AX47" i="5"/>
  <c r="BF47" i="5"/>
  <c r="AR47" i="5"/>
  <c r="AZ47" i="5"/>
  <c r="AT47" i="5"/>
  <c r="BB47" i="5"/>
  <c r="AM47" i="5"/>
  <c r="AY47" i="5"/>
  <c r="AN47" i="5"/>
  <c r="BA47" i="5"/>
  <c r="AO47" i="5"/>
  <c r="BC47" i="5"/>
  <c r="AQ47" i="5"/>
  <c r="BD47" i="5"/>
  <c r="AS47" i="5"/>
  <c r="BE47" i="5"/>
  <c r="AV47" i="5"/>
  <c r="AW47" i="5"/>
  <c r="AU47" i="5"/>
  <c r="BG47" i="5"/>
  <c r="AR16" i="5"/>
  <c r="AZ16" i="5"/>
  <c r="AS16" i="5"/>
  <c r="BA16" i="5"/>
  <c r="AT16" i="5"/>
  <c r="BB16" i="5"/>
  <c r="AM16" i="5"/>
  <c r="AU16" i="5"/>
  <c r="BC16" i="5"/>
  <c r="AN16" i="5"/>
  <c r="AV16" i="5"/>
  <c r="BD16" i="5"/>
  <c r="BF16" i="5"/>
  <c r="AO16" i="5"/>
  <c r="BG16" i="5"/>
  <c r="AP16" i="5"/>
  <c r="AX16" i="5"/>
  <c r="AY16" i="5"/>
  <c r="AQ16" i="5"/>
  <c r="AW16" i="5"/>
  <c r="BE16" i="5"/>
  <c r="AQ25" i="5"/>
  <c r="AY25" i="5"/>
  <c r="BG25" i="5"/>
  <c r="AS25" i="5"/>
  <c r="BA25" i="5"/>
  <c r="AM25" i="5"/>
  <c r="AU25" i="5"/>
  <c r="BC25" i="5"/>
  <c r="AN25" i="5"/>
  <c r="AZ25" i="5"/>
  <c r="AO25" i="5"/>
  <c r="BB25" i="5"/>
  <c r="AP25" i="5"/>
  <c r="BD25" i="5"/>
  <c r="AR25" i="5"/>
  <c r="BE25" i="5"/>
  <c r="AT25" i="5"/>
  <c r="BF25" i="5"/>
  <c r="AX25" i="5"/>
  <c r="AV25" i="5"/>
  <c r="AW25" i="5"/>
  <c r="AT8" i="5"/>
  <c r="BB8" i="5"/>
  <c r="AM8" i="5"/>
  <c r="AU8" i="5"/>
  <c r="BC8" i="5"/>
  <c r="AN8" i="5"/>
  <c r="AV8" i="5"/>
  <c r="BD8" i="5"/>
  <c r="AO8" i="5"/>
  <c r="AW8" i="5"/>
  <c r="BE8" i="5"/>
  <c r="AP8" i="5"/>
  <c r="AX8" i="5"/>
  <c r="BF8" i="5"/>
  <c r="BA8" i="5"/>
  <c r="AS8" i="5"/>
  <c r="AY8" i="5"/>
  <c r="AQ8" i="5"/>
  <c r="AR8" i="5"/>
  <c r="AZ8" i="5"/>
  <c r="BG8" i="5"/>
  <c r="AR34" i="5"/>
  <c r="AZ34" i="5"/>
  <c r="AT34" i="5"/>
  <c r="BB34" i="5"/>
  <c r="AN34" i="5"/>
  <c r="AV34" i="5"/>
  <c r="BD34" i="5"/>
  <c r="AP34" i="5"/>
  <c r="BC34" i="5"/>
  <c r="AQ34" i="5"/>
  <c r="BE34" i="5"/>
  <c r="AS34" i="5"/>
  <c r="BF34" i="5"/>
  <c r="AU34" i="5"/>
  <c r="BG34" i="5"/>
  <c r="AW34" i="5"/>
  <c r="AY34" i="5"/>
  <c r="BA34" i="5"/>
  <c r="AM34" i="5"/>
  <c r="AO34" i="5"/>
  <c r="AX34" i="5"/>
  <c r="AP36" i="5"/>
  <c r="AX36" i="5"/>
  <c r="BF36" i="5"/>
  <c r="AQ36" i="5"/>
  <c r="AY36" i="5"/>
  <c r="BG36" i="5"/>
  <c r="AR36" i="5"/>
  <c r="AZ36" i="5"/>
  <c r="AS36" i="5"/>
  <c r="BA36" i="5"/>
  <c r="AT36" i="5"/>
  <c r="BB36" i="5"/>
  <c r="AV36" i="5"/>
  <c r="AW36" i="5"/>
  <c r="BC36" i="5"/>
  <c r="AN36" i="5"/>
  <c r="AO36" i="5"/>
  <c r="AM36" i="5"/>
  <c r="AU36" i="5"/>
  <c r="BD36" i="5"/>
  <c r="BE36" i="5"/>
  <c r="AT6" i="5"/>
  <c r="BB6" i="5"/>
  <c r="AN6" i="5"/>
  <c r="AV6" i="5"/>
  <c r="BD6" i="5"/>
  <c r="AP6" i="5"/>
  <c r="AX6" i="5"/>
  <c r="BF6" i="5"/>
  <c r="AS6" i="5"/>
  <c r="BG6" i="5"/>
  <c r="AU6" i="5"/>
  <c r="AW6" i="5"/>
  <c r="AY6" i="5"/>
  <c r="AM6" i="5"/>
  <c r="AZ6" i="5"/>
  <c r="AO6" i="5"/>
  <c r="AQ6" i="5"/>
  <c r="BC6" i="5"/>
  <c r="BE6" i="5"/>
  <c r="AR6" i="5"/>
  <c r="BA6" i="5"/>
  <c r="AS35" i="5"/>
  <c r="BA35" i="5"/>
  <c r="AT35" i="5"/>
  <c r="BB35" i="5"/>
  <c r="AM35" i="5"/>
  <c r="AU35" i="5"/>
  <c r="BC35" i="5"/>
  <c r="AN35" i="5"/>
  <c r="AV35" i="5"/>
  <c r="BD35" i="5"/>
  <c r="AP35" i="5"/>
  <c r="AX35" i="5"/>
  <c r="BF35" i="5"/>
  <c r="AQ35" i="5"/>
  <c r="AR35" i="5"/>
  <c r="AW35" i="5"/>
  <c r="AY35" i="5"/>
  <c r="AZ35" i="5"/>
  <c r="AO35" i="5"/>
  <c r="BE35" i="5"/>
  <c r="BG35" i="5"/>
  <c r="AS30" i="5"/>
  <c r="BA30" i="5"/>
  <c r="AT30" i="5"/>
  <c r="BB30" i="5"/>
  <c r="AM30" i="5"/>
  <c r="AU30" i="5"/>
  <c r="BC30" i="5"/>
  <c r="AN30" i="5"/>
  <c r="AV30" i="5"/>
  <c r="BD30" i="5"/>
  <c r="AP30" i="5"/>
  <c r="AX30" i="5"/>
  <c r="BF30" i="5"/>
  <c r="AO30" i="5"/>
  <c r="AQ30" i="5"/>
  <c r="AR30" i="5"/>
  <c r="AW30" i="5"/>
  <c r="AY30" i="5"/>
  <c r="AZ30" i="5"/>
  <c r="BE30" i="5"/>
  <c r="BG30" i="5"/>
  <c r="AS22" i="5"/>
  <c r="BA22" i="5"/>
  <c r="AT22" i="5"/>
  <c r="BB22" i="5"/>
  <c r="AM22" i="5"/>
  <c r="AU22" i="5"/>
  <c r="BC22" i="5"/>
  <c r="AN22" i="5"/>
  <c r="AV22" i="5"/>
  <c r="BD22" i="5"/>
  <c r="AP22" i="5"/>
  <c r="AX22" i="5"/>
  <c r="BF22" i="5"/>
  <c r="BG22" i="5"/>
  <c r="AO22" i="5"/>
  <c r="AQ22" i="5"/>
  <c r="AR22" i="5"/>
  <c r="AW22" i="5"/>
  <c r="AY22" i="5"/>
  <c r="AZ22" i="5"/>
  <c r="BE22" i="5"/>
  <c r="AQ7" i="5"/>
  <c r="AY7" i="5"/>
  <c r="BG7" i="5"/>
  <c r="AR7" i="5"/>
  <c r="AZ7" i="5"/>
  <c r="AS7" i="5"/>
  <c r="BA7" i="5"/>
  <c r="AT7" i="5"/>
  <c r="BB7" i="5"/>
  <c r="AM7" i="5"/>
  <c r="AU7" i="5"/>
  <c r="BC7" i="5"/>
  <c r="AO7" i="5"/>
  <c r="AV7" i="5"/>
  <c r="BD7" i="5"/>
  <c r="BE7" i="5"/>
  <c r="AN7" i="5"/>
  <c r="AP7" i="5"/>
  <c r="AW7" i="5"/>
  <c r="AX7" i="5"/>
  <c r="BF7" i="5"/>
  <c r="AM38" i="5"/>
  <c r="AU38" i="5"/>
  <c r="BC38" i="5"/>
  <c r="AN38" i="5"/>
  <c r="AV38" i="5"/>
  <c r="BD38" i="5"/>
  <c r="AO38" i="5"/>
  <c r="AW38" i="5"/>
  <c r="BE38" i="5"/>
  <c r="AP38" i="5"/>
  <c r="AX38" i="5"/>
  <c r="BF38" i="5"/>
  <c r="AR38" i="5"/>
  <c r="AZ38" i="5"/>
  <c r="BG38" i="5"/>
  <c r="AQ38" i="5"/>
  <c r="AS38" i="5"/>
  <c r="AT38" i="5"/>
  <c r="AY38" i="5"/>
  <c r="BB38" i="5"/>
  <c r="BA38" i="5"/>
  <c r="AO48" i="5"/>
  <c r="AS48" i="5"/>
  <c r="BA48" i="5"/>
  <c r="AT48" i="5"/>
  <c r="BB48" i="5"/>
  <c r="AU48" i="5"/>
  <c r="BC48" i="5"/>
  <c r="AM48" i="5"/>
  <c r="AV48" i="5"/>
  <c r="BD48" i="5"/>
  <c r="AN48" i="5"/>
  <c r="AW48" i="5"/>
  <c r="BE48" i="5"/>
  <c r="AR48" i="5"/>
  <c r="AX48" i="5"/>
  <c r="AY48" i="5"/>
  <c r="BG48" i="5"/>
  <c r="AP48" i="5"/>
  <c r="AQ48" i="5"/>
  <c r="AZ48" i="5"/>
  <c r="BF48" i="5"/>
  <c r="AN17" i="5"/>
  <c r="AV17" i="5"/>
  <c r="BD17" i="5"/>
  <c r="AO17" i="5"/>
  <c r="AW17" i="5"/>
  <c r="BE17" i="5"/>
  <c r="AP17" i="5"/>
  <c r="AX17" i="5"/>
  <c r="BF17" i="5"/>
  <c r="AQ17" i="5"/>
  <c r="AR17" i="5"/>
  <c r="AZ17" i="5"/>
  <c r="AU17" i="5"/>
  <c r="BA17" i="5"/>
  <c r="AM17" i="5"/>
  <c r="BG17" i="5"/>
  <c r="AS17" i="5"/>
  <c r="AT17" i="5"/>
  <c r="AY17" i="5"/>
  <c r="BB17" i="5"/>
  <c r="BC17" i="5"/>
  <c r="AO46" i="5"/>
  <c r="AW46" i="5"/>
  <c r="BE46" i="5"/>
  <c r="AP46" i="5"/>
  <c r="AX46" i="5"/>
  <c r="BF46" i="5"/>
  <c r="AQ46" i="5"/>
  <c r="AY46" i="5"/>
  <c r="BG46" i="5"/>
  <c r="AR46" i="5"/>
  <c r="AZ46" i="5"/>
  <c r="AT46" i="5"/>
  <c r="BB46" i="5"/>
  <c r="BC46" i="5"/>
  <c r="BD46" i="5"/>
  <c r="AM46" i="5"/>
  <c r="AN46" i="5"/>
  <c r="AS46" i="5"/>
  <c r="AU46" i="5"/>
  <c r="AV46" i="5"/>
  <c r="BA46" i="5"/>
  <c r="AR33" i="5"/>
  <c r="AZ33" i="5"/>
  <c r="AT33" i="5"/>
  <c r="BB33" i="5"/>
  <c r="AO33" i="5"/>
  <c r="AW33" i="5"/>
  <c r="BE33" i="5"/>
  <c r="AP33" i="5"/>
  <c r="AM33" i="5"/>
  <c r="BA33" i="5"/>
  <c r="AN33" i="5"/>
  <c r="BC33" i="5"/>
  <c r="AQ33" i="5"/>
  <c r="BD33" i="5"/>
  <c r="AY33" i="5"/>
  <c r="AS33" i="5"/>
  <c r="BF33" i="5"/>
  <c r="AU33" i="5"/>
  <c r="BG33" i="5"/>
  <c r="AV33" i="5"/>
  <c r="AX33" i="5"/>
  <c r="AS54" i="5"/>
  <c r="BA54" i="5"/>
  <c r="AT54" i="5"/>
  <c r="BB54" i="5"/>
  <c r="AM54" i="5"/>
  <c r="AU54" i="5"/>
  <c r="BC54" i="5"/>
  <c r="AN54" i="5"/>
  <c r="AV54" i="5"/>
  <c r="BD54" i="5"/>
  <c r="AO54" i="5"/>
  <c r="AW54" i="5"/>
  <c r="BE54" i="5"/>
  <c r="AX54" i="5"/>
  <c r="AY54" i="5"/>
  <c r="AZ54" i="5"/>
  <c r="AP54" i="5"/>
  <c r="AQ54" i="5"/>
  <c r="AR54" i="5"/>
  <c r="BF54" i="5"/>
  <c r="BG54" i="5"/>
  <c r="AQ50" i="5"/>
  <c r="AY50" i="5"/>
  <c r="BG50" i="5"/>
  <c r="AR50" i="5"/>
  <c r="AZ50" i="5"/>
  <c r="AS50" i="5"/>
  <c r="BA50" i="5"/>
  <c r="AT50" i="5"/>
  <c r="BB50" i="5"/>
  <c r="AM50" i="5"/>
  <c r="AU50" i="5"/>
  <c r="BC50" i="5"/>
  <c r="AO50" i="5"/>
  <c r="AP50" i="5"/>
  <c r="AV50" i="5"/>
  <c r="BD50" i="5"/>
  <c r="BE50" i="5"/>
  <c r="AN50" i="5"/>
  <c r="AW50" i="5"/>
  <c r="AX50" i="5"/>
  <c r="BF50" i="5"/>
  <c r="AM14" i="5"/>
  <c r="AU14" i="5"/>
  <c r="BC14" i="5"/>
  <c r="AO14" i="5"/>
  <c r="AW14" i="5"/>
  <c r="BE14" i="5"/>
  <c r="AQ14" i="5"/>
  <c r="AY14" i="5"/>
  <c r="BG14" i="5"/>
  <c r="AT14" i="5"/>
  <c r="AV14" i="5"/>
  <c r="AX14" i="5"/>
  <c r="AZ14" i="5"/>
  <c r="AN14" i="5"/>
  <c r="BA14" i="5"/>
  <c r="AR14" i="5"/>
  <c r="AS14" i="5"/>
  <c r="BB14" i="5"/>
  <c r="AP14" i="5"/>
  <c r="BD14" i="5"/>
  <c r="BF14" i="5"/>
  <c r="AT5" i="5"/>
  <c r="BB5" i="5"/>
  <c r="AM5" i="5"/>
  <c r="AU5" i="5"/>
  <c r="BC5" i="5"/>
  <c r="AN5" i="5"/>
  <c r="AV5" i="5"/>
  <c r="BD5" i="5"/>
  <c r="AO5" i="5"/>
  <c r="AW5" i="5"/>
  <c r="BE5" i="5"/>
  <c r="AQ5" i="5"/>
  <c r="AY5" i="5"/>
  <c r="BG5" i="5"/>
  <c r="AZ5" i="5"/>
  <c r="BA5" i="5"/>
  <c r="BF5" i="5"/>
  <c r="AP5" i="5"/>
  <c r="AR5" i="5"/>
  <c r="AS5" i="5"/>
  <c r="AX5" i="5"/>
  <c r="AT31" i="5"/>
  <c r="BB31" i="5"/>
  <c r="AM31" i="5"/>
  <c r="AU31" i="5"/>
  <c r="BC31" i="5"/>
  <c r="AN31" i="5"/>
  <c r="AV31" i="5"/>
  <c r="BD31" i="5"/>
  <c r="AO31" i="5"/>
  <c r="AW31" i="5"/>
  <c r="BE31" i="5"/>
  <c r="AQ31" i="5"/>
  <c r="AY31" i="5"/>
  <c r="BG31" i="5"/>
  <c r="AX31" i="5"/>
  <c r="AZ31" i="5"/>
  <c r="BA31" i="5"/>
  <c r="BF31" i="5"/>
  <c r="AP31" i="5"/>
  <c r="AR31" i="5"/>
  <c r="AS31" i="5"/>
  <c r="AT11" i="5"/>
  <c r="BB11" i="5"/>
  <c r="AM11" i="5"/>
  <c r="AU11" i="5"/>
  <c r="BC11" i="5"/>
  <c r="AN11" i="5"/>
  <c r="AV11" i="5"/>
  <c r="BD11" i="5"/>
  <c r="AO11" i="5"/>
  <c r="AW11" i="5"/>
  <c r="BE11" i="5"/>
  <c r="AQ11" i="5"/>
  <c r="AY11" i="5"/>
  <c r="BG11" i="5"/>
  <c r="AS11" i="5"/>
  <c r="AX11" i="5"/>
  <c r="AZ11" i="5"/>
  <c r="BA11" i="5"/>
  <c r="BF11" i="5"/>
  <c r="AP11" i="5"/>
  <c r="AR11" i="5"/>
  <c r="AP24" i="5"/>
  <c r="AX24" i="5"/>
  <c r="BF24" i="5"/>
  <c r="AQ24" i="5"/>
  <c r="AY24" i="5"/>
  <c r="BG24" i="5"/>
  <c r="AR24" i="5"/>
  <c r="AZ24" i="5"/>
  <c r="AS24" i="5"/>
  <c r="BA24" i="5"/>
  <c r="AT24" i="5"/>
  <c r="BB24" i="5"/>
  <c r="AV24" i="5"/>
  <c r="BC24" i="5"/>
  <c r="AN24" i="5"/>
  <c r="AO24" i="5"/>
  <c r="AM24" i="5"/>
  <c r="AU24" i="5"/>
  <c r="AW24" i="5"/>
  <c r="BD24" i="5"/>
  <c r="BE24" i="5"/>
  <c r="AN56" i="5"/>
  <c r="AV56" i="5"/>
  <c r="BD56" i="5"/>
  <c r="AP56" i="5"/>
  <c r="AX56" i="5"/>
  <c r="BF56" i="5"/>
  <c r="AS56" i="5"/>
  <c r="BA56" i="5"/>
  <c r="AT56" i="5"/>
  <c r="AU56" i="5"/>
  <c r="AW56" i="5"/>
  <c r="BE56" i="5"/>
  <c r="AY56" i="5"/>
  <c r="AR56" i="5"/>
  <c r="AM56" i="5"/>
  <c r="AZ56" i="5"/>
  <c r="AO56" i="5"/>
  <c r="BB56" i="5"/>
  <c r="AQ56" i="5"/>
  <c r="BC56" i="5"/>
  <c r="BG1" i="5"/>
  <c r="AN1" i="5"/>
  <c r="AO1" i="5"/>
  <c r="AP1" i="5"/>
  <c r="AQ1" i="5"/>
  <c r="AR1" i="5"/>
  <c r="AS1" i="5"/>
  <c r="AT1" i="5"/>
  <c r="AU1" i="5"/>
  <c r="AV1" i="5"/>
  <c r="AW1" i="5"/>
  <c r="AX1" i="5"/>
  <c r="AY1" i="5"/>
  <c r="AZ1" i="5"/>
  <c r="BA1" i="5"/>
  <c r="BB1" i="5"/>
  <c r="BC1" i="5"/>
  <c r="BD1" i="5"/>
  <c r="BE1" i="5"/>
  <c r="BF1" i="5"/>
  <c r="BH1" i="5"/>
  <c r="BO30" i="5" l="1"/>
  <c r="BP30" i="5" s="1"/>
  <c r="BO23" i="5"/>
  <c r="BP23" i="5" s="1"/>
  <c r="BO52" i="5"/>
  <c r="BP52" i="5" s="1"/>
  <c r="BO32" i="5"/>
  <c r="BP32" i="5" s="1"/>
  <c r="BO56" i="5"/>
  <c r="BP56" i="5" s="1"/>
  <c r="BO37" i="5"/>
  <c r="BP37" i="5" s="1"/>
  <c r="BO9" i="5"/>
  <c r="BP9" i="5" s="1"/>
  <c r="BO29" i="5"/>
  <c r="BP29" i="5" s="1"/>
  <c r="BO18" i="5"/>
  <c r="BP18" i="5" s="1"/>
  <c r="BO27" i="5"/>
  <c r="BP27" i="5" s="1"/>
  <c r="BO31" i="5"/>
  <c r="BP31" i="5" s="1"/>
  <c r="BO50" i="5"/>
  <c r="BP50" i="5" s="1"/>
  <c r="BO6" i="5"/>
  <c r="BP6" i="5" s="1"/>
  <c r="BO45" i="5"/>
  <c r="BP45" i="5" s="1"/>
  <c r="BO46" i="5"/>
  <c r="BP46" i="5" s="1"/>
  <c r="BO36" i="5"/>
  <c r="BP36" i="5" s="1"/>
  <c r="BO26" i="5"/>
  <c r="BP26" i="5" s="1"/>
  <c r="BO44" i="5"/>
  <c r="BP44" i="5" s="1"/>
  <c r="BO13" i="5"/>
  <c r="BP13" i="5" s="1"/>
  <c r="BO15" i="5"/>
  <c r="BP15" i="5" s="1"/>
  <c r="BO53" i="5"/>
  <c r="BP53" i="5" s="1"/>
  <c r="BO17" i="5"/>
  <c r="BP17" i="5" s="1"/>
  <c r="BO7" i="5"/>
  <c r="BP7" i="5" s="1"/>
  <c r="BO16" i="5"/>
  <c r="BP16" i="5" s="1"/>
  <c r="BO8" i="5"/>
  <c r="BP8" i="5" s="1"/>
  <c r="BO3" i="5"/>
  <c r="BO28" i="5"/>
  <c r="BP28" i="5" s="1"/>
  <c r="BO43" i="5"/>
  <c r="BP43" i="5" s="1"/>
  <c r="BO49" i="5"/>
  <c r="BP49" i="5" s="1"/>
  <c r="BO24" i="5"/>
  <c r="BP24" i="5" s="1"/>
  <c r="BO11" i="5"/>
  <c r="BP11" i="5" s="1"/>
  <c r="BO33" i="5"/>
  <c r="BP33" i="5" s="1"/>
  <c r="BO48" i="5"/>
  <c r="BP48" i="5" s="1"/>
  <c r="BO19" i="5"/>
  <c r="BP19" i="5" s="1"/>
  <c r="BO21" i="5"/>
  <c r="BP21" i="5" s="1"/>
  <c r="BO20" i="5"/>
  <c r="BP20" i="5" s="1"/>
  <c r="BO10" i="5"/>
  <c r="BP10" i="5" s="1"/>
  <c r="BO54" i="5"/>
  <c r="BP54" i="5" s="1"/>
  <c r="BO22" i="5"/>
  <c r="BP22" i="5" s="1"/>
  <c r="BO14" i="5"/>
  <c r="BP14" i="5" s="1"/>
  <c r="BO35" i="5"/>
  <c r="BP35" i="5" s="1"/>
  <c r="BO25" i="5"/>
  <c r="BP25" i="5" s="1"/>
  <c r="BO47" i="5"/>
  <c r="BP47" i="5" s="1"/>
  <c r="BO51" i="5"/>
  <c r="BP51" i="5" s="1"/>
  <c r="BO12" i="5"/>
  <c r="BP12" i="5" s="1"/>
  <c r="BO55" i="5"/>
  <c r="BP55" i="5" s="1"/>
  <c r="BO38" i="5"/>
  <c r="BP38" i="5" s="1"/>
  <c r="BO42" i="5"/>
  <c r="BP42" i="5" s="1"/>
  <c r="BO39" i="5"/>
  <c r="BP39" i="5" s="1"/>
  <c r="BO5" i="5"/>
  <c r="BP5" i="5" s="1"/>
  <c r="BO34" i="5"/>
  <c r="BP34" i="5" s="1"/>
  <c r="BO40" i="5"/>
  <c r="BP40" i="5" s="1"/>
  <c r="BO2" i="5"/>
  <c r="BP2" i="5" s="1"/>
  <c r="BO4" i="5"/>
  <c r="BP4" i="5" s="1"/>
  <c r="BO41" i="5"/>
  <c r="BP41" i="5" s="1"/>
  <c r="BM58" i="5"/>
  <c r="BL58" i="5"/>
  <c r="BN58" i="5"/>
  <c r="BI58" i="5"/>
  <c r="BJ58" i="5"/>
  <c r="BK58" i="5"/>
  <c r="J57" i="5"/>
  <c r="AL57" i="5" s="1"/>
  <c r="AM1" i="5"/>
  <c r="BO58" i="5" l="1"/>
  <c r="AO57" i="5"/>
  <c r="AW57" i="5"/>
  <c r="BE57" i="5"/>
  <c r="AP57" i="5"/>
  <c r="AX57" i="5"/>
  <c r="BF57" i="5"/>
  <c r="AQ57" i="5"/>
  <c r="AY57" i="5"/>
  <c r="BG57" i="5"/>
  <c r="AR57" i="5"/>
  <c r="AZ57" i="5"/>
  <c r="BH57" i="5"/>
  <c r="AS57" i="5"/>
  <c r="AT57" i="5"/>
  <c r="BA57" i="5"/>
  <c r="AU57" i="5"/>
  <c r="AV57" i="5"/>
  <c r="AM57" i="5"/>
  <c r="AN57" i="5"/>
  <c r="BB57" i="5"/>
  <c r="BC57" i="5"/>
  <c r="BD57" i="5"/>
  <c r="AM58" i="5" l="1"/>
  <c r="AX58" i="5"/>
  <c r="BE58" i="5"/>
  <c r="AY58" i="5"/>
  <c r="AP58" i="5"/>
  <c r="AS58" i="5"/>
  <c r="AR58" i="5"/>
  <c r="BH58" i="5"/>
  <c r="AQ58" i="5"/>
  <c r="BC58" i="5"/>
  <c r="AW58" i="5"/>
  <c r="BD58" i="5"/>
  <c r="AO58" i="5"/>
  <c r="BB58" i="5"/>
  <c r="AN58" i="5"/>
  <c r="BA58" i="5"/>
  <c r="AV58" i="5"/>
  <c r="AZ58" i="5"/>
  <c r="AT58" i="5"/>
  <c r="BG58" i="5"/>
  <c r="AU58" i="5"/>
  <c r="BF58" i="5"/>
  <c r="BP3" i="5"/>
</calcChain>
</file>

<file path=xl/comments1.xml><?xml version="1.0" encoding="utf-8"?>
<comments xmlns="http://schemas.openxmlformats.org/spreadsheetml/2006/main">
  <authors>
    <author>usuario</author>
  </authors>
  <commentList>
    <comment ref="C54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Prejubilado
</t>
        </r>
      </text>
    </comment>
    <comment ref="C5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Baja
23/05/2024
ERTE
</t>
        </r>
      </text>
    </comment>
  </commentList>
</comments>
</file>

<file path=xl/sharedStrings.xml><?xml version="1.0" encoding="utf-8"?>
<sst xmlns="http://schemas.openxmlformats.org/spreadsheetml/2006/main" count="755" uniqueCount="611">
  <si>
    <t>ABAD PEÑALBA, FRANCISCO JAVIER</t>
  </si>
  <si>
    <t>28956704A</t>
  </si>
  <si>
    <t>ACITO, GIUSEPPE</t>
  </si>
  <si>
    <t>X9886775H</t>
  </si>
  <si>
    <t>ALONSO RODEA JORGE</t>
  </si>
  <si>
    <t>47304552S</t>
  </si>
  <si>
    <t>ANTON RAMIREZ JOSE MIGUEL</t>
  </si>
  <si>
    <t>50082768S</t>
  </si>
  <si>
    <t>BALBOA DE ANDRES MIGUEL</t>
  </si>
  <si>
    <t>34279298Y</t>
  </si>
  <si>
    <t>BARBOSA BUSTOS LUIS ANTONIO</t>
  </si>
  <si>
    <t>77172055V</t>
  </si>
  <si>
    <t>BAULUZ SANZ, TERESA</t>
  </si>
  <si>
    <t>02889341N</t>
  </si>
  <si>
    <t>BODOQUE IGUALADA ALBERTO</t>
  </si>
  <si>
    <t>05379926L</t>
  </si>
  <si>
    <t>CANO CUACOS ESTHER</t>
  </si>
  <si>
    <t>28973379A</t>
  </si>
  <si>
    <t>CARRASCAL CINTAS MERCEDES</t>
  </si>
  <si>
    <t>47231893J</t>
  </si>
  <si>
    <t>CASTEDO MERINERO CARLOS EDUARDO</t>
  </si>
  <si>
    <t>29167035E</t>
  </si>
  <si>
    <t>CASTILLO DELGADO ERIKA JOHANNA</t>
  </si>
  <si>
    <t>51264248P</t>
  </si>
  <si>
    <t>CERCANO GARCIA LAURA</t>
  </si>
  <si>
    <t>53437264F</t>
  </si>
  <si>
    <t>CHAPARRO DIAZ LAURA KATHERIN</t>
  </si>
  <si>
    <t>Y7469444R</t>
  </si>
  <si>
    <t>CLEMENTE MILAN, ANTONIO MANUEL</t>
  </si>
  <si>
    <t>50435415A</t>
  </si>
  <si>
    <t>COBO MURILLO SARA</t>
  </si>
  <si>
    <t>76055694F</t>
  </si>
  <si>
    <t>COUSO SANTOS, NATALIA</t>
  </si>
  <si>
    <t>46842232H</t>
  </si>
  <si>
    <t>DE LA MOYA GONZALEZ, FRANCISCO JAVIER</t>
  </si>
  <si>
    <t>02913070M</t>
  </si>
  <si>
    <t>DE LA TORRE DELGADO ROCÍO</t>
  </si>
  <si>
    <t>44217918G</t>
  </si>
  <si>
    <t>DEL VALLE PEREZ DANIEL</t>
  </si>
  <si>
    <t>50621996P</t>
  </si>
  <si>
    <t>DELGADO  MAYORAL MARCOS</t>
  </si>
  <si>
    <t>01185587Y</t>
  </si>
  <si>
    <t>DIAZ MARTIN EDUARDO</t>
  </si>
  <si>
    <t>05306419C</t>
  </si>
  <si>
    <t>ESPERILLA ARANDA ROBERTO</t>
  </si>
  <si>
    <t>53604024V</t>
  </si>
  <si>
    <t>FERNANDEZ GARCIA CELIA</t>
  </si>
  <si>
    <t>71263665M</t>
  </si>
  <si>
    <t>FERNANDEZ SIERRA MARCOS</t>
  </si>
  <si>
    <t>02738111F</t>
  </si>
  <si>
    <t>GALISTEO CUESTA MIGUEL ANGEL</t>
  </si>
  <si>
    <t>02322310T</t>
  </si>
  <si>
    <t>GARCES ANAUT, CARLOS</t>
  </si>
  <si>
    <t>01925088B</t>
  </si>
  <si>
    <t>GARCIA ALMIRA JORGE</t>
  </si>
  <si>
    <t>50872609J</t>
  </si>
  <si>
    <t>GARCIA MARTINEZ MARIA JOSE</t>
  </si>
  <si>
    <t>76632574R</t>
  </si>
  <si>
    <t>GARCIA PECHARROMAN, FRANCISCO JAVIER</t>
  </si>
  <si>
    <t>03443663B</t>
  </si>
  <si>
    <t>GOMEZ DIAZ JOSE</t>
  </si>
  <si>
    <t>46719534W</t>
  </si>
  <si>
    <t>GONZALEZ NAVARRO SALVADOR</t>
  </si>
  <si>
    <t>20846243D</t>
  </si>
  <si>
    <t>GREGORIO DOMINGUEZ CRISTINA</t>
  </si>
  <si>
    <t>47312241E</t>
  </si>
  <si>
    <t>JIMENEZ VELEZMORO JESUS BRAYAN</t>
  </si>
  <si>
    <t>50629814Y</t>
  </si>
  <si>
    <t>LOPEZ CARDONA LESLY YISSEL</t>
  </si>
  <si>
    <t>Y4249110N</t>
  </si>
  <si>
    <t>LOPEZ DE DIEGO, MARIA DEL CARMEN</t>
  </si>
  <si>
    <t>05390712H</t>
  </si>
  <si>
    <t>LOPEZ SAMA JUAN ANTONIO</t>
  </si>
  <si>
    <t>51680675C</t>
  </si>
  <si>
    <t>LORENZO PEREZ, ESTELA</t>
  </si>
  <si>
    <t>70057876Z</t>
  </si>
  <si>
    <t>LOZA CUEVAS ALEJANDRA</t>
  </si>
  <si>
    <t>44894352P</t>
  </si>
  <si>
    <t>MARIN DELGADO ALVARO</t>
  </si>
  <si>
    <t>48991168H</t>
  </si>
  <si>
    <t>MARTIN BENITO, MANUEL</t>
  </si>
  <si>
    <t>08980351R</t>
  </si>
  <si>
    <t>MARTINEZ MERINO, ALBERTO</t>
  </si>
  <si>
    <t>01812673C</t>
  </si>
  <si>
    <t>MATEOS NAVARRO ALEJANDRO</t>
  </si>
  <si>
    <t>76037803X</t>
  </si>
  <si>
    <t>MIGAL LANAGRAN JAVIER</t>
  </si>
  <si>
    <t>46924208E</t>
  </si>
  <si>
    <t>MONTIEL GONZALEZ JOSE MARIA</t>
  </si>
  <si>
    <t>50970764G</t>
  </si>
  <si>
    <t>MORENO CABRERA MONICA</t>
  </si>
  <si>
    <t>26500049R</t>
  </si>
  <si>
    <t>MORENO RAMIREZ, ANA</t>
  </si>
  <si>
    <t>08931810J</t>
  </si>
  <si>
    <t>PEREZ MORALES CECILIA</t>
  </si>
  <si>
    <t>60008139N</t>
  </si>
  <si>
    <t>REYES GUDIÑO VANESSA MISHELL</t>
  </si>
  <si>
    <t>54985080S</t>
  </si>
  <si>
    <t>ROBLES SAN MARTIN, LETICIA</t>
  </si>
  <si>
    <t>50870717F</t>
  </si>
  <si>
    <t>RODRIGUEZ MUÑOZ, JORGE</t>
  </si>
  <si>
    <t>50227421K</t>
  </si>
  <si>
    <t>SANCHEZ JEREZ SILVIA</t>
  </si>
  <si>
    <t>47513281L</t>
  </si>
  <si>
    <t>TRAVESI DE DIEGO OSCAR</t>
  </si>
  <si>
    <t>33511519J</t>
  </si>
  <si>
    <t>ZURDO LOPEZ, ROCIO</t>
  </si>
  <si>
    <t>46878368K</t>
  </si>
  <si>
    <t>Empleado</t>
  </si>
  <si>
    <t>Nombre Empleado</t>
  </si>
  <si>
    <t>total</t>
  </si>
  <si>
    <t>check</t>
  </si>
  <si>
    <t>diferencia</t>
  </si>
  <si>
    <t>581-01310</t>
  </si>
  <si>
    <t>581-01311</t>
  </si>
  <si>
    <t>581-01312</t>
  </si>
  <si>
    <t>581-01313</t>
  </si>
  <si>
    <t>581-01314</t>
  </si>
  <si>
    <t>581-01320</t>
  </si>
  <si>
    <t>581-01324</t>
  </si>
  <si>
    <t>581-01330</t>
  </si>
  <si>
    <t>581-01331</t>
  </si>
  <si>
    <t>581-01333</t>
  </si>
  <si>
    <t>581-01335</t>
  </si>
  <si>
    <t>581-01340</t>
  </si>
  <si>
    <t>581-01341</t>
  </si>
  <si>
    <t>581-01343</t>
  </si>
  <si>
    <t>581-01353</t>
  </si>
  <si>
    <t>581-01354</t>
  </si>
  <si>
    <t>581-01356</t>
  </si>
  <si>
    <t>581-01360</t>
  </si>
  <si>
    <t>581-01363</t>
  </si>
  <si>
    <t>581-01364</t>
  </si>
  <si>
    <t>581-01601</t>
  </si>
  <si>
    <t>581-01603</t>
  </si>
  <si>
    <t>581-01611</t>
  </si>
  <si>
    <t>581-01612</t>
  </si>
  <si>
    <t>581-01613</t>
  </si>
  <si>
    <t>581-01614</t>
  </si>
  <si>
    <t>581-01621</t>
  </si>
  <si>
    <t>581-01622</t>
  </si>
  <si>
    <t>581-01624</t>
  </si>
  <si>
    <t>581-01631</t>
  </si>
  <si>
    <t>581-01632</t>
  </si>
  <si>
    <t>581-01633</t>
  </si>
  <si>
    <t>581-01634</t>
  </si>
  <si>
    <t>581-01642</t>
  </si>
  <si>
    <t>581-01644</t>
  </si>
  <si>
    <t>581-01651</t>
  </si>
  <si>
    <t>581-01652</t>
  </si>
  <si>
    <t>581-01653</t>
  </si>
  <si>
    <t>581-01654</t>
  </si>
  <si>
    <t>581-01661</t>
  </si>
  <si>
    <t>581-01662</t>
  </si>
  <si>
    <t>581-01663</t>
  </si>
  <si>
    <t>581-01664</t>
  </si>
  <si>
    <t>581-01800</t>
  </si>
  <si>
    <t>581-01801</t>
  </si>
  <si>
    <t>581-01802</t>
  </si>
  <si>
    <t>581-01803</t>
  </si>
  <si>
    <t>581-01811</t>
  </si>
  <si>
    <t>581-01812</t>
  </si>
  <si>
    <t>581-01813</t>
  </si>
  <si>
    <t>581-01814</t>
  </si>
  <si>
    <t>581-01823</t>
  </si>
  <si>
    <t>581-01824</t>
  </si>
  <si>
    <t>581-01834</t>
  </si>
  <si>
    <t>581-01841</t>
  </si>
  <si>
    <t>Obra</t>
  </si>
  <si>
    <t>581-01321</t>
  </si>
  <si>
    <t>581-01322</t>
  </si>
  <si>
    <t>581-01323</t>
  </si>
  <si>
    <t>581-01325</t>
  </si>
  <si>
    <t>581-01332</t>
  </si>
  <si>
    <t>581-01334</t>
  </si>
  <si>
    <t>581-01342</t>
  </si>
  <si>
    <t>581-01350</t>
  </si>
  <si>
    <t>581-01351</t>
  </si>
  <si>
    <t>581-01352</t>
  </si>
  <si>
    <t>581-01355</t>
  </si>
  <si>
    <t>581-01361</t>
  </si>
  <si>
    <t>581-01362</t>
  </si>
  <si>
    <t>375-00100</t>
  </si>
  <si>
    <t>375-00101</t>
  </si>
  <si>
    <t>375-00102</t>
  </si>
  <si>
    <t>375-00103</t>
  </si>
  <si>
    <t>375-00104</t>
  </si>
  <si>
    <t>375-00105</t>
  </si>
  <si>
    <t>375-00200</t>
  </si>
  <si>
    <t>375-00201</t>
  </si>
  <si>
    <t>375-00202</t>
  </si>
  <si>
    <t>375-00300</t>
  </si>
  <si>
    <t>375-00301</t>
  </si>
  <si>
    <t>375-00302</t>
  </si>
  <si>
    <t>375-00303</t>
  </si>
  <si>
    <t>375-00304</t>
  </si>
  <si>
    <t>375-00305</t>
  </si>
  <si>
    <t>375-00400</t>
  </si>
  <si>
    <t>375-00401</t>
  </si>
  <si>
    <t>375-00500</t>
  </si>
  <si>
    <t>375-00501</t>
  </si>
  <si>
    <t>375-00600</t>
  </si>
  <si>
    <t>375-00601</t>
  </si>
  <si>
    <t>375-00602</t>
  </si>
  <si>
    <t>375-00603</t>
  </si>
  <si>
    <t>375-00604</t>
  </si>
  <si>
    <t>375-00605</t>
  </si>
  <si>
    <t>375-00606</t>
  </si>
  <si>
    <t>375-00800</t>
  </si>
  <si>
    <t>375-00801</t>
  </si>
  <si>
    <t>375-01100</t>
  </si>
  <si>
    <t>375-01101</t>
  </si>
  <si>
    <t>375-01102</t>
  </si>
  <si>
    <t>375-01103</t>
  </si>
  <si>
    <t>375-01104</t>
  </si>
  <si>
    <t>375-01105</t>
  </si>
  <si>
    <t>375-01106</t>
  </si>
  <si>
    <t>375-01107</t>
  </si>
  <si>
    <t>375-01200</t>
  </si>
  <si>
    <t>375-01201</t>
  </si>
  <si>
    <t>375-01202</t>
  </si>
  <si>
    <t>375-01400</t>
  </si>
  <si>
    <t>375-01401</t>
  </si>
  <si>
    <t>375-01500</t>
  </si>
  <si>
    <t>375-01501</t>
  </si>
  <si>
    <t>375-01502</t>
  </si>
  <si>
    <t>375-01503</t>
  </si>
  <si>
    <t>375-01504</t>
  </si>
  <si>
    <t>375-01600</t>
  </si>
  <si>
    <t>375-01601</t>
  </si>
  <si>
    <t>375-01602</t>
  </si>
  <si>
    <t>375-01700</t>
  </si>
  <si>
    <t>375-01701</t>
  </si>
  <si>
    <t>375-01800</t>
  </si>
  <si>
    <t>375-01801</t>
  </si>
  <si>
    <t>375-01900</t>
  </si>
  <si>
    <t>375-01901</t>
  </si>
  <si>
    <t>375-10000</t>
  </si>
  <si>
    <t>375-10001</t>
  </si>
  <si>
    <t>375-10200</t>
  </si>
  <si>
    <t>375-10201</t>
  </si>
  <si>
    <t>375-10202</t>
  </si>
  <si>
    <t>375-10203</t>
  </si>
  <si>
    <t>375-10300</t>
  </si>
  <si>
    <t>375-10301</t>
  </si>
  <si>
    <t>375-10302</t>
  </si>
  <si>
    <t>375-10303</t>
  </si>
  <si>
    <t>375-10600</t>
  </si>
  <si>
    <t>375-10601</t>
  </si>
  <si>
    <t>375-10700</t>
  </si>
  <si>
    <t>375-10701</t>
  </si>
  <si>
    <t>375-10800</t>
  </si>
  <si>
    <t>375-10801</t>
  </si>
  <si>
    <t>375-10802</t>
  </si>
  <si>
    <t>375-10803</t>
  </si>
  <si>
    <t>375-10804</t>
  </si>
  <si>
    <t>375-10900</t>
  </si>
  <si>
    <t>375-10901</t>
  </si>
  <si>
    <t>375-10902</t>
  </si>
  <si>
    <t>375-10903</t>
  </si>
  <si>
    <t>375-11000</t>
  </si>
  <si>
    <t>375-11001</t>
  </si>
  <si>
    <t>375-11200</t>
  </si>
  <si>
    <t>375-11201</t>
  </si>
  <si>
    <t>375-11202</t>
  </si>
  <si>
    <t>375-11203</t>
  </si>
  <si>
    <t>375-11300</t>
  </si>
  <si>
    <t>375-11600</t>
  </si>
  <si>
    <t>375-11601</t>
  </si>
  <si>
    <t>375-11700</t>
  </si>
  <si>
    <t>375-11701</t>
  </si>
  <si>
    <t>375-11702</t>
  </si>
  <si>
    <t>375-11900</t>
  </si>
  <si>
    <t>375-11901</t>
  </si>
  <si>
    <t>375-12100</t>
  </si>
  <si>
    <t>375-12101</t>
  </si>
  <si>
    <t>375-12200</t>
  </si>
  <si>
    <t>375-12201</t>
  </si>
  <si>
    <t>375-12300</t>
  </si>
  <si>
    <t>375-12301</t>
  </si>
  <si>
    <t>375-12302</t>
  </si>
  <si>
    <t>375-12303</t>
  </si>
  <si>
    <t>375-88800</t>
  </si>
  <si>
    <t>375-88900</t>
  </si>
  <si>
    <t>375-93100</t>
  </si>
  <si>
    <t>375-93200</t>
  </si>
  <si>
    <t>375-96300</t>
  </si>
  <si>
    <t>375-99900</t>
  </si>
  <si>
    <t>375-99999</t>
  </si>
  <si>
    <t>449-01000</t>
  </si>
  <si>
    <t>449-01100</t>
  </si>
  <si>
    <t>449-01200</t>
  </si>
  <si>
    <t>449-01300</t>
  </si>
  <si>
    <t>449-01400</t>
  </si>
  <si>
    <t>449-02000</t>
  </si>
  <si>
    <t>449-02100</t>
  </si>
  <si>
    <t>449-02200</t>
  </si>
  <si>
    <t>449-03000</t>
  </si>
  <si>
    <t>449-03100</t>
  </si>
  <si>
    <t>449-04000</t>
  </si>
  <si>
    <t>449-05000</t>
  </si>
  <si>
    <t>449-90000</t>
  </si>
  <si>
    <t>449-99100</t>
  </si>
  <si>
    <t>449-99200</t>
  </si>
  <si>
    <t>449-99300</t>
  </si>
  <si>
    <t>449-99400</t>
  </si>
  <si>
    <t>449-99500</t>
  </si>
  <si>
    <t>449-99999</t>
  </si>
  <si>
    <t>495-00100</t>
  </si>
  <si>
    <t>495-00101</t>
  </si>
  <si>
    <t>495-00102</t>
  </si>
  <si>
    <t>495-00103</t>
  </si>
  <si>
    <t>495-88900</t>
  </si>
  <si>
    <t>495-99999</t>
  </si>
  <si>
    <t>581-01300</t>
  </si>
  <si>
    <t>581-01301</t>
  </si>
  <si>
    <t>581-01500</t>
  </si>
  <si>
    <t>581-01501</t>
  </si>
  <si>
    <t>581-01502</t>
  </si>
  <si>
    <t>581-01600</t>
  </si>
  <si>
    <t>581-01602</t>
  </si>
  <si>
    <t>581-01623</t>
  </si>
  <si>
    <t>581-01641</t>
  </si>
  <si>
    <t>581-01821</t>
  </si>
  <si>
    <t>581-01822</t>
  </si>
  <si>
    <t>581-01831</t>
  </si>
  <si>
    <t>581-01832</t>
  </si>
  <si>
    <t>581-01833</t>
  </si>
  <si>
    <t>581-01842</t>
  </si>
  <si>
    <t>581-01844</t>
  </si>
  <si>
    <t>581-01851</t>
  </si>
  <si>
    <t>581-01852</t>
  </si>
  <si>
    <t>581-01853</t>
  </si>
  <si>
    <t>581-01854</t>
  </si>
  <si>
    <t>581-01861</t>
  </si>
  <si>
    <t>581-01862</t>
  </si>
  <si>
    <t>581-01863</t>
  </si>
  <si>
    <t>581-01864</t>
  </si>
  <si>
    <t>581-02000</t>
  </si>
  <si>
    <t>581-02010</t>
  </si>
  <si>
    <t>581-02020</t>
  </si>
  <si>
    <t>581-02030</t>
  </si>
  <si>
    <t>581-02040</t>
  </si>
  <si>
    <t>581-02050</t>
  </si>
  <si>
    <t>581-02060</t>
  </si>
  <si>
    <t>581-04100</t>
  </si>
  <si>
    <t>581-04101</t>
  </si>
  <si>
    <t>581-04102</t>
  </si>
  <si>
    <t>581-04600</t>
  </si>
  <si>
    <t>581-04601</t>
  </si>
  <si>
    <t>581-04602</t>
  </si>
  <si>
    <t>581-04603</t>
  </si>
  <si>
    <t>581-11500</t>
  </si>
  <si>
    <t>581-11501</t>
  </si>
  <si>
    <t>581-11502</t>
  </si>
  <si>
    <t>581-11503</t>
  </si>
  <si>
    <t>581-11504</t>
  </si>
  <si>
    <t>581-11505</t>
  </si>
  <si>
    <t>581-11510</t>
  </si>
  <si>
    <t>581-11520</t>
  </si>
  <si>
    <t>581-11600</t>
  </si>
  <si>
    <t>581-11620</t>
  </si>
  <si>
    <t>581-14300</t>
  </si>
  <si>
    <t>581-14301</t>
  </si>
  <si>
    <t>581-14302</t>
  </si>
  <si>
    <t>581-14303</t>
  </si>
  <si>
    <t>581-14500</t>
  </si>
  <si>
    <t>581-14501</t>
  </si>
  <si>
    <t>581-20100</t>
  </si>
  <si>
    <t>581-20101</t>
  </si>
  <si>
    <t>581-20102</t>
  </si>
  <si>
    <t>581-20103</t>
  </si>
  <si>
    <t>581-20110</t>
  </si>
  <si>
    <t>581-20120</t>
  </si>
  <si>
    <t>581-20130</t>
  </si>
  <si>
    <t>581-20140</t>
  </si>
  <si>
    <t>581-20150</t>
  </si>
  <si>
    <t>581-20700</t>
  </si>
  <si>
    <t>581-20701</t>
  </si>
  <si>
    <t>581-30200</t>
  </si>
  <si>
    <t>581-31000</t>
  </si>
  <si>
    <t>581-31001</t>
  </si>
  <si>
    <t>581-31300</t>
  </si>
  <si>
    <t>581-32000</t>
  </si>
  <si>
    <t>581-33400</t>
  </si>
  <si>
    <t>581-33700</t>
  </si>
  <si>
    <t>581-33800</t>
  </si>
  <si>
    <t>581-34400</t>
  </si>
  <si>
    <t>581-34500</t>
  </si>
  <si>
    <t>581-34700</t>
  </si>
  <si>
    <t>581-34800</t>
  </si>
  <si>
    <t>581-34900</t>
  </si>
  <si>
    <t>581-36600</t>
  </si>
  <si>
    <t>581-36800</t>
  </si>
  <si>
    <t>581-37400</t>
  </si>
  <si>
    <t>581-37600</t>
  </si>
  <si>
    <t>581-37700</t>
  </si>
  <si>
    <t>581-37800</t>
  </si>
  <si>
    <t>581-37900</t>
  </si>
  <si>
    <t>581-38000</t>
  </si>
  <si>
    <t>581-38100</t>
  </si>
  <si>
    <t>581-38200</t>
  </si>
  <si>
    <t>581-38300</t>
  </si>
  <si>
    <t>581-38400</t>
  </si>
  <si>
    <t>581-38500</t>
  </si>
  <si>
    <t>581-38600</t>
  </si>
  <si>
    <t>581-38700</t>
  </si>
  <si>
    <t>581-38800</t>
  </si>
  <si>
    <t>581-38900</t>
  </si>
  <si>
    <t>581-39000</t>
  </si>
  <si>
    <t>581-39100</t>
  </si>
  <si>
    <t>581-39200</t>
  </si>
  <si>
    <t>581-39300</t>
  </si>
  <si>
    <t>581-39400</t>
  </si>
  <si>
    <t>581-39500</t>
  </si>
  <si>
    <t>581-39600</t>
  </si>
  <si>
    <t>581-39700</t>
  </si>
  <si>
    <t>581-39800</t>
  </si>
  <si>
    <t>581-39900</t>
  </si>
  <si>
    <t>581-40000</t>
  </si>
  <si>
    <t>581-40500</t>
  </si>
  <si>
    <t>581-41900</t>
  </si>
  <si>
    <t>581-42000</t>
  </si>
  <si>
    <t>581-42100</t>
  </si>
  <si>
    <t>581-42200</t>
  </si>
  <si>
    <t>581-42300</t>
  </si>
  <si>
    <t>581-42400</t>
  </si>
  <si>
    <t>581-42500</t>
  </si>
  <si>
    <t>581-42600</t>
  </si>
  <si>
    <t>581-42700</t>
  </si>
  <si>
    <t>581-42800</t>
  </si>
  <si>
    <t>581-42900</t>
  </si>
  <si>
    <t>581-43000</t>
  </si>
  <si>
    <t>581-43100</t>
  </si>
  <si>
    <t>581-43200</t>
  </si>
  <si>
    <t>581-43300</t>
  </si>
  <si>
    <t>581-43400</t>
  </si>
  <si>
    <t>581-43500</t>
  </si>
  <si>
    <t>581-43600</t>
  </si>
  <si>
    <t>581-43700</t>
  </si>
  <si>
    <t>581-43800</t>
  </si>
  <si>
    <t>581-43900</t>
  </si>
  <si>
    <t>581-44000</t>
  </si>
  <si>
    <t>581-44100</t>
  </si>
  <si>
    <t>581-44200</t>
  </si>
  <si>
    <t>581-44300</t>
  </si>
  <si>
    <t>581-44400</t>
  </si>
  <si>
    <t>581-44500</t>
  </si>
  <si>
    <t>581-44600</t>
  </si>
  <si>
    <t>581-44700</t>
  </si>
  <si>
    <t>581-44800</t>
  </si>
  <si>
    <t>581-50000</t>
  </si>
  <si>
    <t>581-51000</t>
  </si>
  <si>
    <t>581-52000</t>
  </si>
  <si>
    <t>581-80300</t>
  </si>
  <si>
    <t>581-80301</t>
  </si>
  <si>
    <t>581-88800</t>
  </si>
  <si>
    <t>581-88900</t>
  </si>
  <si>
    <t>581-89900</t>
  </si>
  <si>
    <t>581-99600</t>
  </si>
  <si>
    <t>581-99700</t>
  </si>
  <si>
    <t>581-99800</t>
  </si>
  <si>
    <t>581-99900</t>
  </si>
  <si>
    <t>581-99999</t>
  </si>
  <si>
    <t>CT</t>
  </si>
  <si>
    <t>MORENO POSTIGO, PATRICIA</t>
  </si>
  <si>
    <t>PEREZ CASANOVA, DANIEL</t>
  </si>
  <si>
    <t>30240063P</t>
  </si>
  <si>
    <t>Se baja a obra</t>
  </si>
  <si>
    <t>SI</t>
  </si>
  <si>
    <t>ROMERO GOMEZ CARMEN</t>
  </si>
  <si>
    <t>NO APARECEN EN GAO</t>
  </si>
  <si>
    <t>Centro que aparece en GAO</t>
  </si>
  <si>
    <t>MADRID</t>
  </si>
  <si>
    <t>TABARA OZÁEZ, ISMAEL</t>
  </si>
  <si>
    <t>GAVALDÀ ELÍAS, EUGENI</t>
  </si>
  <si>
    <t>OLASO LÓPEZ, AROIA</t>
  </si>
  <si>
    <t>EUSKALTEL</t>
  </si>
  <si>
    <t>CONTERO GONZALEZ FERNANDO JAVIER</t>
  </si>
  <si>
    <t>COUQUE RAMIREZ LOURDES</t>
  </si>
  <si>
    <t>GUZMAN LEYVA RAFAEL</t>
  </si>
  <si>
    <t>HERRERA  VILLACORTA  ELENA</t>
  </si>
  <si>
    <t>LOPEZ LEAL MONICA</t>
  </si>
  <si>
    <t>SAEZ MARIN MARIA DE LOS ANGELES</t>
  </si>
  <si>
    <t>SERRANO DIEZ JUAN ANTONIO</t>
  </si>
  <si>
    <t>FAJARDO RODAS JHON JAMES</t>
  </si>
  <si>
    <t>PEREZ PEREZ, JULIO JOSE</t>
  </si>
  <si>
    <t>375-01902</t>
  </si>
  <si>
    <t>375-10002</t>
  </si>
  <si>
    <t>AXENT PROYECTOS</t>
  </si>
  <si>
    <t>ORANGE ING NNPP</t>
  </si>
  <si>
    <t>Nombre Obra</t>
  </si>
  <si>
    <t>VODAFONE ONO INGENIERIA</t>
  </si>
  <si>
    <t>NETWORK DAT MANAGER 2022</t>
  </si>
  <si>
    <t>VDF SERV ING 2022</t>
  </si>
  <si>
    <t>VDF SOPORTE GIS 2022</t>
  </si>
  <si>
    <t>VDF ONO ING</t>
  </si>
  <si>
    <t>VDF SOPORTE SUC 2022</t>
  </si>
  <si>
    <t>VDF ESPAÑA INGENIERIA</t>
  </si>
  <si>
    <t>VDF ING 2022</t>
  </si>
  <si>
    <t>VDF ESPAÑA ING</t>
  </si>
  <si>
    <t>ORANGE INGENIERIA</t>
  </si>
  <si>
    <t>ORANGE ING CP 509</t>
  </si>
  <si>
    <t>ORANGE ING CP 372</t>
  </si>
  <si>
    <t>ORANGE ING SUC</t>
  </si>
  <si>
    <t>ORANGE ING COLEGIOS CAM</t>
  </si>
  <si>
    <t>SSPP RADIO  (P.PROPIO)</t>
  </si>
  <si>
    <t>TELEFONICA ING</t>
  </si>
  <si>
    <t>OPTIMUS</t>
  </si>
  <si>
    <t>TELEFONICA SERV. INTEGR</t>
  </si>
  <si>
    <t>OPTIMUS SI</t>
  </si>
  <si>
    <t>MASMOVIL INGENIERIA</t>
  </si>
  <si>
    <t>MASMOVIL ING CONSREV 22</t>
  </si>
  <si>
    <t>MASMOVIL ING EFICIENC 22</t>
  </si>
  <si>
    <t>MASMOVIL ING DESPL. 2022</t>
  </si>
  <si>
    <t>MASMOVIL SSPP 2022</t>
  </si>
  <si>
    <t>MASMOVIL ING</t>
  </si>
  <si>
    <t>RA EUSKALTEL</t>
  </si>
  <si>
    <t>DIGI INGENIERIA</t>
  </si>
  <si>
    <t>DIGI ING</t>
  </si>
  <si>
    <t>MASMOVIL CONSERV R1</t>
  </si>
  <si>
    <t>MASMOVIL EFICIENCIA R1</t>
  </si>
  <si>
    <t>MASMOVIL CONSERV R3</t>
  </si>
  <si>
    <t>MASMOVIL EFICIENCIA R3</t>
  </si>
  <si>
    <t>MASMOVIL DESPLIEGUE 23</t>
  </si>
  <si>
    <t>MASMOVIL SSPP 2023</t>
  </si>
  <si>
    <t>HUAWEI INGENIERIA</t>
  </si>
  <si>
    <t>HUAWEI ING TESA (P.PROP)</t>
  </si>
  <si>
    <t>HUAWEI ING (P. AJENO)</t>
  </si>
  <si>
    <t>GEDESIA INGENIERIA</t>
  </si>
  <si>
    <t>GEDESIA INGE P.PROPIO</t>
  </si>
  <si>
    <t>CGM INGENIERIA</t>
  </si>
  <si>
    <t>CGM ING ERICSSON P PROPI</t>
  </si>
  <si>
    <t>CGM ING ERICSSON P AJENO</t>
  </si>
  <si>
    <t>CGM ING HUAWEI P PROPIO</t>
  </si>
  <si>
    <t>CGM ING HUAWEI P AJENO</t>
  </si>
  <si>
    <t>XENET INGENIERIA</t>
  </si>
  <si>
    <t>XENET ING P.PROPIO</t>
  </si>
  <si>
    <t>XENET ING. SUC</t>
  </si>
  <si>
    <t>EVOLUTIO INGENIERIA</t>
  </si>
  <si>
    <t>RENFE INGENIERIA</t>
  </si>
  <si>
    <t>RENFE MEDIDAS MAD/BADAJ</t>
  </si>
  <si>
    <t>AXENT INGENIERIA</t>
  </si>
  <si>
    <t>AXENT INGENIERIA SUC</t>
  </si>
  <si>
    <t>ORANGE ESPAÑA INGENIERIA</t>
  </si>
  <si>
    <t>ORANGE ESPAGNE - INGENIE</t>
  </si>
  <si>
    <t>LYNTIA ING</t>
  </si>
  <si>
    <t>LYNTIA PREVENTA E2E 22</t>
  </si>
  <si>
    <t>LYNTIA CONSERVACION 2022</t>
  </si>
  <si>
    <t>LYNTIA ING FTTH</t>
  </si>
  <si>
    <t>EUSKALTEL INGENIERIA</t>
  </si>
  <si>
    <t>EUSKAKTEL ING</t>
  </si>
  <si>
    <t>MASMOVIL CONSERV EUSKADI</t>
  </si>
  <si>
    <t>MASMOVIL EFIC EUSKADI</t>
  </si>
  <si>
    <t>TELXIUS INGENIERIA</t>
  </si>
  <si>
    <t>INGENIERIA EUSKALTEL/ZTE</t>
  </si>
  <si>
    <t>EUSKALTEL /ZTE ING</t>
  </si>
  <si>
    <t>OMNISTAL ING</t>
  </si>
  <si>
    <t>NOWO ING HGC 2022 PP</t>
  </si>
  <si>
    <t>NOWO ING HFC 2022</t>
  </si>
  <si>
    <t>OMNISTAL INDIRECTOS</t>
  </si>
  <si>
    <t>SERVICIOS OMNISTAL</t>
  </si>
  <si>
    <t>CITYFIBRE ING</t>
  </si>
  <si>
    <t>CYTIFIBRE</t>
  </si>
  <si>
    <t>IQA INDIRECTOS</t>
  </si>
  <si>
    <t>SERVICIOS IQA</t>
  </si>
  <si>
    <t>ITALIA ING</t>
  </si>
  <si>
    <t>REDE ABERTA DESPLIEGUE F</t>
  </si>
  <si>
    <t>REDE ABERTA ING P. PROP.</t>
  </si>
  <si>
    <t>REDE ABERTA ING P. AJENO</t>
  </si>
  <si>
    <t>REDE ABERTA SUC</t>
  </si>
  <si>
    <t>TIPO OBRA 3</t>
  </si>
  <si>
    <t>XFERA  INGENIERIA</t>
  </si>
  <si>
    <t>XFERA INGENIERIA</t>
  </si>
  <si>
    <t>DIPUTACION MALAGA</t>
  </si>
  <si>
    <t>ING DIP MALAGA P.PROPIO</t>
  </si>
  <si>
    <t>ING DIP MALAGA P AJENO</t>
  </si>
  <si>
    <t>LYNTIA ACCESS INGENIERIA</t>
  </si>
  <si>
    <t>LYNTIA ACC INGENIERIA</t>
  </si>
  <si>
    <t>NASERTIC INGENIERIA</t>
  </si>
  <si>
    <t>INTEROUTE</t>
  </si>
  <si>
    <t>INTEROUTE INGENIERIA</t>
  </si>
  <si>
    <t>R CABLE INGENIERIA</t>
  </si>
  <si>
    <t>R CABLE SSPP 2022IL CON</t>
  </si>
  <si>
    <t>MASMOVIL CONSE ASTURIAS</t>
  </si>
  <si>
    <t>MASMOVIL EFIC. ASTURIAS</t>
  </si>
  <si>
    <t>NO USO MOVILES</t>
  </si>
  <si>
    <t>MOVILES NACIONAL</t>
  </si>
  <si>
    <t>OFIC COMERCIAL INGEN</t>
  </si>
  <si>
    <t>OFICINA COMERCIAL RADIO</t>
  </si>
  <si>
    <t>RETROFIT EKT INDIERECTOS</t>
  </si>
  <si>
    <t>VEHICULOS</t>
  </si>
  <si>
    <t>OBRA USO INTERNO GAO (NO BORRAR)</t>
  </si>
  <si>
    <t>MOVILES INTERNACIONAL</t>
  </si>
  <si>
    <t>MASMOVIL EFICIENCIA R4</t>
  </si>
  <si>
    <t>375-01108</t>
  </si>
  <si>
    <t>Coste provisional Mayo GAO</t>
  </si>
  <si>
    <t>Baja 28/06/2024</t>
  </si>
  <si>
    <t>Baja 03/06/2025</t>
  </si>
  <si>
    <t>Estimación Junio</t>
  </si>
  <si>
    <t>Coste estimado Junio</t>
  </si>
  <si>
    <t>TOTAL</t>
  </si>
  <si>
    <t>Estructura</t>
  </si>
  <si>
    <t>ERTE</t>
  </si>
  <si>
    <t>Becarios</t>
  </si>
  <si>
    <t>Alta/Baja</t>
  </si>
  <si>
    <t>Centro</t>
  </si>
  <si>
    <t>375-01301</t>
  </si>
  <si>
    <t>MM ING UNICO P PROPIO</t>
  </si>
  <si>
    <t>375-00901</t>
  </si>
  <si>
    <t>ING AMERICAN TOWERS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</si>
</sst>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_-;\-* #,##0.00_-;_-* &quot;-&quot;??_-;_-@_-"/>
    <numFmt numFmtId="165" formatCode="#,##0.00\ &quot;€&quot;"/>
    <numFmt numFmtId="166" formatCode="_-* #,##0.000_-;\-* #,##0.000_-;_-* &quot;-&quot;??_-;_-@_-"/>
    <numFmt numFmtId="167" formatCode="_-* #,##0.00\ [$€-C0A]_-;\-* #,##0.00\ [$€-C0A]_-;_-* &quot;-&quot;??\ [$€-C0A]_-;_-@_-"/>
  </numFmts>
  <fonts count="13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MS Sans Serif"/>
      <family val="2"/>
    </font>
    <font>
      <sz val="11"/>
      <name val="Calibri"/>
      <family val="2"/>
    </font>
    <font>
      <b/>
      <sz val="11"/>
      <color theme="0"/>
      <name val="Aptos Narrow"/>
      <family val="2"/>
      <scheme val="minor"/>
    </font>
    <font>
      <sz val="8"/>
      <name val="Calibri"/>
      <family val="2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8" fillId="0" borderId="0"/>
    <xf numFmtId="164" fontId="9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3" fillId="0" borderId="0" xfId="0" applyFont="1"/>
    <xf numFmtId="0" fontId="5" fillId="0" borderId="0" xfId="0" applyFont="1"/>
    <xf numFmtId="165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5" fontId="3" fillId="0" borderId="0" xfId="0" applyNumberFormat="1" applyFont="1"/>
    <xf numFmtId="0" fontId="0" fillId="4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1"/>
    <xf numFmtId="166" fontId="0" fillId="0" borderId="0" xfId="4" applyNumberFormat="1" applyFont="1"/>
    <xf numFmtId="165" fontId="0" fillId="6" borderId="0" xfId="0" applyNumberFormat="1" applyFill="1" applyAlignment="1">
      <alignment horizontal="center"/>
    </xf>
    <xf numFmtId="165" fontId="3" fillId="0" borderId="0" xfId="0" applyNumberFormat="1" applyFont="1" applyAlignment="1">
      <alignment horizontal="center"/>
    </xf>
    <xf numFmtId="2" fontId="0" fillId="0" borderId="0" xfId="0" applyNumberFormat="1"/>
    <xf numFmtId="165" fontId="0" fillId="0" borderId="0" xfId="0" applyNumberFormat="1"/>
    <xf numFmtId="166" fontId="5" fillId="0" borderId="0" xfId="4" applyNumberFormat="1" applyFont="1"/>
    <xf numFmtId="167" fontId="0" fillId="0" borderId="0" xfId="0" applyNumberFormat="1" applyAlignment="1">
      <alignment horizontal="center"/>
    </xf>
    <xf numFmtId="44" fontId="0" fillId="0" borderId="0" xfId="0" applyNumberFormat="1"/>
    <xf numFmtId="167" fontId="5" fillId="0" borderId="0" xfId="0" applyNumberFormat="1" applyFont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3" borderId="0" xfId="0" applyFill="1"/>
    <xf numFmtId="165" fontId="5" fillId="6" borderId="0" xfId="0" applyNumberFormat="1" applyFont="1" applyFill="1" applyAlignment="1">
      <alignment horizontal="center"/>
    </xf>
    <xf numFmtId="165" fontId="5" fillId="0" borderId="0" xfId="0" applyNumberFormat="1" applyFont="1"/>
    <xf numFmtId="0" fontId="10" fillId="12" borderId="0" xfId="0" applyFont="1" applyFill="1" applyAlignment="1">
      <alignment horizontal="center"/>
    </xf>
    <xf numFmtId="2" fontId="5" fillId="0" borderId="0" xfId="0" applyNumberFormat="1" applyFont="1"/>
    <xf numFmtId="44" fontId="0" fillId="0" borderId="0" xfId="8" applyFont="1"/>
  </cellXfs>
  <cellStyles count="9">
    <cellStyle name="Millares" xfId="4" builtinId="3"/>
    <cellStyle name="Millares 2" xfId="7"/>
    <cellStyle name="Moneda" xfId="8" builtinId="4"/>
    <cellStyle name="Moneda 2" xfId="2"/>
    <cellStyle name="Normal" xfId="0" builtinId="0"/>
    <cellStyle name="Normal 2" xfId="3"/>
    <cellStyle name="Normal 3" xfId="1"/>
    <cellStyle name="Normal 4" xfId="5"/>
    <cellStyle name="Normal 5" xfId="6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106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87" sqref="J87"/>
    </sheetView>
  </sheetViews>
  <sheetFormatPr baseColWidth="10" defaultColWidth="9.44140625" defaultRowHeight="14.4"/>
  <cols>
    <col min="1" max="1" width="15.44140625" style="1" bestFit="1" customWidth="1"/>
    <col min="2" max="2" width="20.5546875" style="1" customWidth="1"/>
    <col min="3" max="3" width="44" style="1" customWidth="1"/>
    <col min="4" max="4" width="30.44140625" style="1" customWidth="1"/>
    <col min="5" max="5" width="25.44140625" style="1" customWidth="1"/>
    <col min="6" max="6" width="29.44140625" style="5" customWidth="1"/>
    <col min="7" max="7" width="28.6640625" style="5" customWidth="1"/>
    <col min="8" max="8" width="27.5546875" style="5" customWidth="1"/>
    <col min="9" max="9" width="28.88671875" style="5" customWidth="1"/>
    <col min="10" max="10" width="15" style="5" customWidth="1"/>
    <col min="11" max="37" width="15" customWidth="1"/>
    <col min="38" max="38" width="16.33203125" customWidth="1"/>
    <col min="39" max="39" width="12.33203125" customWidth="1"/>
    <col min="40" max="40" width="16.88671875" style="1" customWidth="1"/>
    <col min="41" max="41" width="12.44140625" style="1" customWidth="1"/>
    <col min="42" max="42" width="11.44140625" style="1" customWidth="1"/>
    <col min="43" max="43" width="15.109375" style="1" customWidth="1"/>
    <col min="44" max="44" width="11.44140625" style="1" customWidth="1"/>
    <col min="45" max="45" width="16.44140625" style="1" customWidth="1"/>
    <col min="46" max="46" width="14.109375" style="1" customWidth="1"/>
    <col min="47" max="47" width="14.88671875" style="1" customWidth="1"/>
    <col min="48" max="48" width="15.5546875" style="1" customWidth="1"/>
    <col min="49" max="50" width="11.44140625" style="1" customWidth="1"/>
    <col min="51" max="53" width="15" style="1" customWidth="1"/>
    <col min="54" max="54" width="15.44140625" style="1" customWidth="1"/>
    <col min="55" max="55" width="11.44140625" style="1" customWidth="1"/>
    <col min="56" max="56" width="19.44140625" style="1" customWidth="1"/>
    <col min="57" max="58" width="11.44140625" style="1" customWidth="1"/>
    <col min="59" max="59" width="15.109375" style="1" bestFit="1" customWidth="1"/>
    <col min="60" max="66" width="15" style="1" customWidth="1"/>
    <col min="67" max="67" width="15" style="1" bestFit="1" customWidth="1"/>
    <col min="68" max="68" width="18.44140625" customWidth="1"/>
  </cols>
  <sheetData>
    <row r="1" spans="1:68">
      <c r="A1" s="9" t="s">
        <v>108</v>
      </c>
      <c r="B1" s="9" t="s">
        <v>464</v>
      </c>
      <c r="C1" s="9" t="s">
        <v>109</v>
      </c>
      <c r="D1" s="9" t="s">
        <v>472</v>
      </c>
      <c r="E1" s="9" t="s">
        <v>468</v>
      </c>
      <c r="F1" s="9" t="s">
        <v>596</v>
      </c>
      <c r="G1" s="9" t="s">
        <v>600</v>
      </c>
      <c r="H1" s="9"/>
      <c r="I1" s="9" t="s">
        <v>601</v>
      </c>
      <c r="J1" s="10" t="s">
        <v>309</v>
      </c>
      <c r="K1" s="27" t="s">
        <v>183</v>
      </c>
      <c r="L1" s="27" t="s">
        <v>184</v>
      </c>
      <c r="M1" s="27" t="s">
        <v>187</v>
      </c>
      <c r="N1" s="27" t="s">
        <v>190</v>
      </c>
      <c r="O1" s="29" t="s">
        <v>224</v>
      </c>
      <c r="P1" s="29" t="s">
        <v>226</v>
      </c>
      <c r="Q1" s="28" t="s">
        <v>193</v>
      </c>
      <c r="R1" s="11" t="s">
        <v>211</v>
      </c>
      <c r="S1" s="11" t="s">
        <v>212</v>
      </c>
      <c r="T1" s="11" t="s">
        <v>213</v>
      </c>
      <c r="U1" s="11" t="s">
        <v>214</v>
      </c>
      <c r="V1" s="11" t="s">
        <v>215</v>
      </c>
      <c r="W1" s="11" t="s">
        <v>216</v>
      </c>
      <c r="X1" s="28" t="s">
        <v>238</v>
      </c>
      <c r="Y1" s="30" t="s">
        <v>244</v>
      </c>
      <c r="Z1" s="30" t="s">
        <v>245</v>
      </c>
      <c r="AA1" s="30" t="s">
        <v>246</v>
      </c>
      <c r="AB1" s="30" t="s">
        <v>280</v>
      </c>
      <c r="AC1" s="30" t="s">
        <v>281</v>
      </c>
      <c r="AD1" s="31" t="s">
        <v>264</v>
      </c>
      <c r="AE1" s="31" t="s">
        <v>265</v>
      </c>
      <c r="AF1" s="10" t="s">
        <v>487</v>
      </c>
      <c r="AG1" s="28" t="s">
        <v>488</v>
      </c>
      <c r="AH1" s="11" t="s">
        <v>595</v>
      </c>
      <c r="AI1" s="11" t="s">
        <v>607</v>
      </c>
      <c r="AJ1" s="35" t="s">
        <v>609</v>
      </c>
      <c r="AK1" s="35" t="s">
        <v>230</v>
      </c>
      <c r="AL1" s="7" t="s">
        <v>111</v>
      </c>
      <c r="AM1" s="8" t="str">
        <f t="shared" ref="AM1:BH1" si="0">J1</f>
        <v>495-00101</v>
      </c>
      <c r="AN1" s="8" t="str">
        <f t="shared" si="0"/>
        <v>375-00101</v>
      </c>
      <c r="AO1" s="8" t="str">
        <f t="shared" si="0"/>
        <v>375-00102</v>
      </c>
      <c r="AP1" s="8" t="str">
        <f t="shared" si="0"/>
        <v>375-00105</v>
      </c>
      <c r="AQ1" s="8" t="str">
        <f t="shared" si="0"/>
        <v>375-00202</v>
      </c>
      <c r="AR1" s="8" t="str">
        <f t="shared" si="0"/>
        <v>375-01501</v>
      </c>
      <c r="AS1" s="8" t="str">
        <f t="shared" si="0"/>
        <v>375-01503</v>
      </c>
      <c r="AT1" s="8" t="str">
        <f t="shared" si="0"/>
        <v>375-00302</v>
      </c>
      <c r="AU1" s="8" t="str">
        <f t="shared" si="0"/>
        <v>375-01101</v>
      </c>
      <c r="AV1" s="8" t="str">
        <f t="shared" si="0"/>
        <v>375-01102</v>
      </c>
      <c r="AW1" s="8" t="str">
        <f t="shared" si="0"/>
        <v>375-01103</v>
      </c>
      <c r="AX1" s="8" t="str">
        <f t="shared" si="0"/>
        <v>375-01104</v>
      </c>
      <c r="AY1" s="8" t="str">
        <f t="shared" si="0"/>
        <v>375-01105</v>
      </c>
      <c r="AZ1" s="8" t="str">
        <f t="shared" si="0"/>
        <v>375-01106</v>
      </c>
      <c r="BA1" s="8" t="str">
        <f t="shared" si="0"/>
        <v>375-10001</v>
      </c>
      <c r="BB1" s="8" t="str">
        <f t="shared" si="0"/>
        <v>375-10301</v>
      </c>
      <c r="BC1" s="8" t="str">
        <f t="shared" si="0"/>
        <v>375-10302</v>
      </c>
      <c r="BD1" s="8" t="str">
        <f t="shared" si="0"/>
        <v>375-10303</v>
      </c>
      <c r="BE1" s="8" t="str">
        <f t="shared" si="0"/>
        <v>375-12302</v>
      </c>
      <c r="BF1" s="8" t="str">
        <f t="shared" si="0"/>
        <v>375-12303</v>
      </c>
      <c r="BG1" s="8" t="str">
        <f t="shared" si="0"/>
        <v>375-11202</v>
      </c>
      <c r="BH1" s="8" t="str">
        <f t="shared" si="0"/>
        <v>375-11203</v>
      </c>
      <c r="BI1" s="8" t="s">
        <v>487</v>
      </c>
      <c r="BJ1" s="8" t="s">
        <v>488</v>
      </c>
      <c r="BK1" s="8" t="s">
        <v>595</v>
      </c>
      <c r="BL1" s="8" t="s">
        <v>607</v>
      </c>
      <c r="BM1" s="8" t="s">
        <v>609</v>
      </c>
      <c r="BN1" s="8" t="s">
        <v>230</v>
      </c>
      <c r="BO1" s="11" t="s">
        <v>110</v>
      </c>
      <c r="BP1" s="11" t="s">
        <v>112</v>
      </c>
    </row>
    <row r="2" spans="1:68">
      <c r="A2" s="1" t="s">
        <v>15</v>
      </c>
      <c r="B2" s="1">
        <v>375</v>
      </c>
      <c r="C2" s="1" t="s">
        <v>14</v>
      </c>
      <c r="D2" s="1">
        <v>375</v>
      </c>
      <c r="E2" s="1" t="s">
        <v>469</v>
      </c>
      <c r="F2" s="5">
        <v>4825.74</v>
      </c>
      <c r="G2" s="5">
        <f t="shared" ref="G2:G33" si="1">+F2</f>
        <v>4825.74</v>
      </c>
      <c r="I2" s="19">
        <f t="shared" ref="I2:I33" si="2">+G2</f>
        <v>4825.74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>
        <v>0.54</v>
      </c>
      <c r="X2" s="18">
        <v>0.46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21">
        <f t="shared" ref="AL2:AL33" si="3">SUM(J2:AK2)</f>
        <v>1</v>
      </c>
      <c r="AM2" s="5">
        <f t="shared" ref="AM2:AM33" si="4">+J2*$I2</f>
        <v>0</v>
      </c>
      <c r="AN2" s="5">
        <f t="shared" ref="AN2:AN33" si="5">+K2*$I2</f>
        <v>0</v>
      </c>
      <c r="AO2" s="5">
        <f t="shared" ref="AO2:AO33" si="6">+L2*$I2</f>
        <v>0</v>
      </c>
      <c r="AP2" s="5">
        <f t="shared" ref="AP2:AP33" si="7">+M2*$I2</f>
        <v>0</v>
      </c>
      <c r="AQ2" s="5">
        <f t="shared" ref="AQ2:AQ33" si="8">+N2*$I2</f>
        <v>0</v>
      </c>
      <c r="AR2" s="5">
        <f t="shared" ref="AR2:AR33" si="9">+O2*$I2</f>
        <v>0</v>
      </c>
      <c r="AS2" s="5">
        <f t="shared" ref="AS2:AS33" si="10">+P2*$I2</f>
        <v>0</v>
      </c>
      <c r="AT2" s="5">
        <f t="shared" ref="AT2:AT33" si="11">+Q2*$I2</f>
        <v>0</v>
      </c>
      <c r="AU2" s="5">
        <f t="shared" ref="AU2:AU33" si="12">+R2*$I2</f>
        <v>0</v>
      </c>
      <c r="AV2" s="5">
        <f t="shared" ref="AV2:AV33" si="13">+S2*$I2</f>
        <v>0</v>
      </c>
      <c r="AW2" s="5">
        <f t="shared" ref="AW2:AW33" si="14">+T2*$I2</f>
        <v>0</v>
      </c>
      <c r="AX2" s="5">
        <f t="shared" ref="AX2:AX33" si="15">+U2*$I2</f>
        <v>0</v>
      </c>
      <c r="AY2" s="5">
        <f t="shared" ref="AY2:AY33" si="16">+V2*$I2</f>
        <v>0</v>
      </c>
      <c r="AZ2" s="5">
        <f t="shared" ref="AZ2:AZ33" si="17">+W2*$I2</f>
        <v>2605.8996000000002</v>
      </c>
      <c r="BA2" s="5">
        <f t="shared" ref="BA2:BA33" si="18">+X2*$I2</f>
        <v>2219.8404</v>
      </c>
      <c r="BB2" s="5">
        <f t="shared" ref="BB2:BB33" si="19">+Y2*$I2</f>
        <v>0</v>
      </c>
      <c r="BC2" s="5">
        <f t="shared" ref="BC2:BC33" si="20">+Z2*$I2</f>
        <v>0</v>
      </c>
      <c r="BD2" s="5">
        <f t="shared" ref="BD2:BD33" si="21">+AA2*$I2</f>
        <v>0</v>
      </c>
      <c r="BE2" s="5">
        <f t="shared" ref="BE2:BE33" si="22">+AB2*$I2</f>
        <v>0</v>
      </c>
      <c r="BF2" s="5">
        <f t="shared" ref="BF2:BF33" si="23">+AC2*$I2</f>
        <v>0</v>
      </c>
      <c r="BG2" s="5">
        <f t="shared" ref="BG2:BG33" si="24">+AD2*$I2</f>
        <v>0</v>
      </c>
      <c r="BH2" s="5">
        <f t="shared" ref="BH2:BH33" si="25">+AE2*$I2</f>
        <v>0</v>
      </c>
      <c r="BI2" s="5">
        <f t="shared" ref="BI2:BI33" si="26">+AF2*$I2</f>
        <v>0</v>
      </c>
      <c r="BJ2" s="5">
        <f t="shared" ref="BJ2:BJ33" si="27">+AG2*$I2</f>
        <v>0</v>
      </c>
      <c r="BK2" s="5">
        <f t="shared" ref="BK2:BK33" si="28">+AH2*$I2</f>
        <v>0</v>
      </c>
      <c r="BL2" s="5">
        <f t="shared" ref="BL2:BL33" si="29">+AI2*$I2</f>
        <v>0</v>
      </c>
      <c r="BM2" s="5">
        <f t="shared" ref="BM2:BM33" si="30">+AJ2*$I2</f>
        <v>0</v>
      </c>
      <c r="BN2" s="5">
        <f t="shared" ref="BN2:BN33" si="31">+AK2*$I2</f>
        <v>0</v>
      </c>
      <c r="BO2" s="12">
        <f t="shared" ref="BO2:BO33" si="32">SUM(AM2:BN2)</f>
        <v>4825.74</v>
      </c>
      <c r="BP2" s="12">
        <f t="shared" ref="BP2:BP33" si="33">+BO2-I2</f>
        <v>0</v>
      </c>
    </row>
    <row r="3" spans="1:68">
      <c r="A3" s="1" t="s">
        <v>1</v>
      </c>
      <c r="B3" s="15">
        <v>375</v>
      </c>
      <c r="C3" s="1" t="s">
        <v>0</v>
      </c>
      <c r="D3" s="1">
        <v>375</v>
      </c>
      <c r="E3" s="1" t="s">
        <v>469</v>
      </c>
      <c r="F3" s="5">
        <v>4691.59</v>
      </c>
      <c r="G3" s="5">
        <f t="shared" si="1"/>
        <v>4691.59</v>
      </c>
      <c r="I3" s="19">
        <f t="shared" si="2"/>
        <v>4691.59</v>
      </c>
      <c r="J3" s="18"/>
      <c r="K3" s="18">
        <v>0.6</v>
      </c>
      <c r="L3" s="18">
        <v>0.2</v>
      </c>
      <c r="M3" s="18"/>
      <c r="N3" s="18">
        <v>0.2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21">
        <f t="shared" si="3"/>
        <v>1</v>
      </c>
      <c r="AM3" s="5">
        <f t="shared" si="4"/>
        <v>0</v>
      </c>
      <c r="AN3" s="5">
        <f t="shared" si="5"/>
        <v>2814.9540000000002</v>
      </c>
      <c r="AO3" s="5">
        <f t="shared" si="6"/>
        <v>938.3180000000001</v>
      </c>
      <c r="AP3" s="5">
        <f t="shared" si="7"/>
        <v>0</v>
      </c>
      <c r="AQ3" s="5">
        <f t="shared" si="8"/>
        <v>938.3180000000001</v>
      </c>
      <c r="AR3" s="5">
        <f t="shared" si="9"/>
        <v>0</v>
      </c>
      <c r="AS3" s="5">
        <f t="shared" si="10"/>
        <v>0</v>
      </c>
      <c r="AT3" s="5">
        <f t="shared" si="11"/>
        <v>0</v>
      </c>
      <c r="AU3" s="5">
        <f t="shared" si="12"/>
        <v>0</v>
      </c>
      <c r="AV3" s="5">
        <f t="shared" si="13"/>
        <v>0</v>
      </c>
      <c r="AW3" s="5">
        <f t="shared" si="14"/>
        <v>0</v>
      </c>
      <c r="AX3" s="5">
        <f t="shared" si="15"/>
        <v>0</v>
      </c>
      <c r="AY3" s="5">
        <f t="shared" si="16"/>
        <v>0</v>
      </c>
      <c r="AZ3" s="5">
        <f t="shared" si="17"/>
        <v>0</v>
      </c>
      <c r="BA3" s="5">
        <f t="shared" si="18"/>
        <v>0</v>
      </c>
      <c r="BB3" s="5">
        <f t="shared" si="19"/>
        <v>0</v>
      </c>
      <c r="BC3" s="5">
        <f t="shared" si="20"/>
        <v>0</v>
      </c>
      <c r="BD3" s="5">
        <f t="shared" si="21"/>
        <v>0</v>
      </c>
      <c r="BE3" s="5">
        <f t="shared" si="22"/>
        <v>0</v>
      </c>
      <c r="BF3" s="5">
        <f t="shared" si="23"/>
        <v>0</v>
      </c>
      <c r="BG3" s="5">
        <f t="shared" si="24"/>
        <v>0</v>
      </c>
      <c r="BH3" s="5">
        <f t="shared" si="25"/>
        <v>0</v>
      </c>
      <c r="BI3" s="5">
        <f t="shared" si="26"/>
        <v>0</v>
      </c>
      <c r="BJ3" s="5">
        <f t="shared" si="27"/>
        <v>0</v>
      </c>
      <c r="BK3" s="5">
        <f t="shared" si="28"/>
        <v>0</v>
      </c>
      <c r="BL3" s="5">
        <f t="shared" si="29"/>
        <v>0</v>
      </c>
      <c r="BM3" s="5">
        <f t="shared" si="30"/>
        <v>0</v>
      </c>
      <c r="BN3" s="5">
        <f t="shared" si="31"/>
        <v>0</v>
      </c>
      <c r="BO3" s="12">
        <f t="shared" si="32"/>
        <v>4691.59</v>
      </c>
      <c r="BP3" s="12">
        <f t="shared" si="33"/>
        <v>0</v>
      </c>
    </row>
    <row r="4" spans="1:68">
      <c r="A4" s="1" t="s">
        <v>37</v>
      </c>
      <c r="B4" s="1">
        <v>375</v>
      </c>
      <c r="C4" s="1" t="s">
        <v>36</v>
      </c>
      <c r="D4" s="1">
        <v>375</v>
      </c>
      <c r="E4" s="1" t="s">
        <v>469</v>
      </c>
      <c r="F4" s="5">
        <v>4255.45</v>
      </c>
      <c r="G4" s="5">
        <f t="shared" si="1"/>
        <v>4255.45</v>
      </c>
      <c r="I4" s="19">
        <f t="shared" si="2"/>
        <v>4255.45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>
        <v>1</v>
      </c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21">
        <f t="shared" si="3"/>
        <v>1</v>
      </c>
      <c r="AM4" s="5">
        <f t="shared" si="4"/>
        <v>0</v>
      </c>
      <c r="AN4" s="5">
        <f t="shared" si="5"/>
        <v>0</v>
      </c>
      <c r="AO4" s="5">
        <f t="shared" si="6"/>
        <v>0</v>
      </c>
      <c r="AP4" s="5">
        <f t="shared" si="7"/>
        <v>0</v>
      </c>
      <c r="AQ4" s="5">
        <f t="shared" si="8"/>
        <v>0</v>
      </c>
      <c r="AR4" s="5">
        <f t="shared" si="9"/>
        <v>0</v>
      </c>
      <c r="AS4" s="5">
        <f t="shared" si="10"/>
        <v>0</v>
      </c>
      <c r="AT4" s="5">
        <f t="shared" si="11"/>
        <v>0</v>
      </c>
      <c r="AU4" s="5">
        <f t="shared" si="12"/>
        <v>0</v>
      </c>
      <c r="AV4" s="5">
        <f t="shared" si="13"/>
        <v>0</v>
      </c>
      <c r="AW4" s="5">
        <f t="shared" si="14"/>
        <v>0</v>
      </c>
      <c r="AX4" s="5">
        <f t="shared" si="15"/>
        <v>0</v>
      </c>
      <c r="AY4" s="5">
        <f t="shared" si="16"/>
        <v>0</v>
      </c>
      <c r="AZ4" s="5">
        <f t="shared" si="17"/>
        <v>4255.45</v>
      </c>
      <c r="BA4" s="5">
        <f t="shared" si="18"/>
        <v>0</v>
      </c>
      <c r="BB4" s="5">
        <f t="shared" si="19"/>
        <v>0</v>
      </c>
      <c r="BC4" s="5">
        <f t="shared" si="20"/>
        <v>0</v>
      </c>
      <c r="BD4" s="5">
        <f t="shared" si="21"/>
        <v>0</v>
      </c>
      <c r="BE4" s="5">
        <f t="shared" si="22"/>
        <v>0</v>
      </c>
      <c r="BF4" s="5">
        <f t="shared" si="23"/>
        <v>0</v>
      </c>
      <c r="BG4" s="5">
        <f t="shared" si="24"/>
        <v>0</v>
      </c>
      <c r="BH4" s="5">
        <f t="shared" si="25"/>
        <v>0</v>
      </c>
      <c r="BI4" s="5">
        <f t="shared" si="26"/>
        <v>0</v>
      </c>
      <c r="BJ4" s="5">
        <f t="shared" si="27"/>
        <v>0</v>
      </c>
      <c r="BK4" s="5">
        <f t="shared" si="28"/>
        <v>0</v>
      </c>
      <c r="BL4" s="5">
        <f t="shared" si="29"/>
        <v>0</v>
      </c>
      <c r="BM4" s="5">
        <f t="shared" si="30"/>
        <v>0</v>
      </c>
      <c r="BN4" s="5">
        <f t="shared" si="31"/>
        <v>0</v>
      </c>
      <c r="BO4" s="12">
        <f t="shared" si="32"/>
        <v>4255.45</v>
      </c>
      <c r="BP4" s="12">
        <f t="shared" si="33"/>
        <v>0</v>
      </c>
    </row>
    <row r="5" spans="1:68">
      <c r="A5" s="1" t="s">
        <v>39</v>
      </c>
      <c r="B5" s="1">
        <v>375</v>
      </c>
      <c r="C5" s="1" t="s">
        <v>38</v>
      </c>
      <c r="D5" s="1">
        <v>375</v>
      </c>
      <c r="E5" s="1" t="s">
        <v>469</v>
      </c>
      <c r="F5" s="5">
        <v>4173.6400000000003</v>
      </c>
      <c r="G5" s="5">
        <f t="shared" si="1"/>
        <v>4173.6400000000003</v>
      </c>
      <c r="I5" s="19">
        <f t="shared" si="2"/>
        <v>4173.6400000000003</v>
      </c>
      <c r="J5" s="18"/>
      <c r="K5" s="18"/>
      <c r="L5" s="18"/>
      <c r="M5" s="18"/>
      <c r="N5" s="18"/>
      <c r="O5" s="18"/>
      <c r="P5" s="18"/>
      <c r="Q5" s="18"/>
      <c r="R5" s="18">
        <v>0.1</v>
      </c>
      <c r="S5" s="18">
        <v>0.1</v>
      </c>
      <c r="T5" s="18">
        <v>0.1</v>
      </c>
      <c r="U5" s="18"/>
      <c r="V5" s="18"/>
      <c r="W5" s="18"/>
      <c r="X5" s="18"/>
      <c r="Y5" s="18"/>
      <c r="Z5" s="18">
        <v>0.2</v>
      </c>
      <c r="AA5" s="18">
        <v>0.1</v>
      </c>
      <c r="AB5" s="18">
        <v>0.2</v>
      </c>
      <c r="AC5" s="18">
        <v>0.1</v>
      </c>
      <c r="AD5" s="18"/>
      <c r="AE5" s="18"/>
      <c r="AF5" s="18"/>
      <c r="AG5" s="18"/>
      <c r="AH5" s="18"/>
      <c r="AI5" s="18">
        <v>0.1</v>
      </c>
      <c r="AJ5" s="18"/>
      <c r="AK5" s="18"/>
      <c r="AL5" s="21">
        <f t="shared" si="3"/>
        <v>1</v>
      </c>
      <c r="AM5" s="5">
        <f t="shared" si="4"/>
        <v>0</v>
      </c>
      <c r="AN5" s="5">
        <f t="shared" si="5"/>
        <v>0</v>
      </c>
      <c r="AO5" s="5">
        <f t="shared" si="6"/>
        <v>0</v>
      </c>
      <c r="AP5" s="5">
        <f t="shared" si="7"/>
        <v>0</v>
      </c>
      <c r="AQ5" s="5">
        <f t="shared" si="8"/>
        <v>0</v>
      </c>
      <c r="AR5" s="5">
        <f t="shared" si="9"/>
        <v>0</v>
      </c>
      <c r="AS5" s="5">
        <f t="shared" si="10"/>
        <v>0</v>
      </c>
      <c r="AT5" s="5">
        <f t="shared" si="11"/>
        <v>0</v>
      </c>
      <c r="AU5" s="5">
        <f t="shared" si="12"/>
        <v>417.36400000000003</v>
      </c>
      <c r="AV5" s="5">
        <f t="shared" si="13"/>
        <v>417.36400000000003</v>
      </c>
      <c r="AW5" s="5">
        <f t="shared" si="14"/>
        <v>417.36400000000003</v>
      </c>
      <c r="AX5" s="5">
        <f t="shared" si="15"/>
        <v>0</v>
      </c>
      <c r="AY5" s="5">
        <f t="shared" si="16"/>
        <v>0</v>
      </c>
      <c r="AZ5" s="5">
        <f t="shared" si="17"/>
        <v>0</v>
      </c>
      <c r="BA5" s="5">
        <f t="shared" si="18"/>
        <v>0</v>
      </c>
      <c r="BB5" s="5">
        <f t="shared" si="19"/>
        <v>0</v>
      </c>
      <c r="BC5" s="5">
        <f t="shared" si="20"/>
        <v>834.72800000000007</v>
      </c>
      <c r="BD5" s="5">
        <f t="shared" si="21"/>
        <v>417.36400000000003</v>
      </c>
      <c r="BE5" s="5">
        <f t="shared" si="22"/>
        <v>834.72800000000007</v>
      </c>
      <c r="BF5" s="5">
        <f t="shared" si="23"/>
        <v>417.36400000000003</v>
      </c>
      <c r="BG5" s="5">
        <f t="shared" si="24"/>
        <v>0</v>
      </c>
      <c r="BH5" s="5">
        <f t="shared" si="25"/>
        <v>0</v>
      </c>
      <c r="BI5" s="5">
        <f t="shared" si="26"/>
        <v>0</v>
      </c>
      <c r="BJ5" s="5">
        <f t="shared" si="27"/>
        <v>0</v>
      </c>
      <c r="BK5" s="5">
        <f t="shared" si="28"/>
        <v>0</v>
      </c>
      <c r="BL5" s="5">
        <f t="shared" si="29"/>
        <v>417.36400000000003</v>
      </c>
      <c r="BM5" s="5">
        <f t="shared" si="30"/>
        <v>0</v>
      </c>
      <c r="BN5" s="5">
        <f t="shared" si="31"/>
        <v>0</v>
      </c>
      <c r="BO5" s="12">
        <f t="shared" si="32"/>
        <v>4173.6400000000003</v>
      </c>
      <c r="BP5" s="12">
        <f t="shared" si="33"/>
        <v>0</v>
      </c>
    </row>
    <row r="6" spans="1:68">
      <c r="A6" s="1" t="s">
        <v>57</v>
      </c>
      <c r="B6" s="1">
        <v>375</v>
      </c>
      <c r="C6" s="1" t="s">
        <v>56</v>
      </c>
      <c r="D6" s="1">
        <v>375</v>
      </c>
      <c r="E6" s="1" t="s">
        <v>469</v>
      </c>
      <c r="F6" s="5">
        <v>3929.5</v>
      </c>
      <c r="G6" s="5">
        <f t="shared" si="1"/>
        <v>3929.5</v>
      </c>
      <c r="I6" s="19">
        <f t="shared" si="2"/>
        <v>3929.5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>
        <v>0.25</v>
      </c>
      <c r="AA6" s="18"/>
      <c r="AB6" s="18">
        <v>0.25</v>
      </c>
      <c r="AC6" s="18"/>
      <c r="AD6" s="18"/>
      <c r="AE6" s="18"/>
      <c r="AF6" s="18"/>
      <c r="AG6" s="18"/>
      <c r="AH6" s="18"/>
      <c r="AI6" s="18">
        <v>0.5</v>
      </c>
      <c r="AJ6" s="18"/>
      <c r="AK6" s="18"/>
      <c r="AL6" s="21">
        <f t="shared" si="3"/>
        <v>1</v>
      </c>
      <c r="AM6" s="5">
        <f t="shared" si="4"/>
        <v>0</v>
      </c>
      <c r="AN6" s="5">
        <f t="shared" si="5"/>
        <v>0</v>
      </c>
      <c r="AO6" s="5">
        <f t="shared" si="6"/>
        <v>0</v>
      </c>
      <c r="AP6" s="5">
        <f t="shared" si="7"/>
        <v>0</v>
      </c>
      <c r="AQ6" s="5">
        <f t="shared" si="8"/>
        <v>0</v>
      </c>
      <c r="AR6" s="5">
        <f t="shared" si="9"/>
        <v>0</v>
      </c>
      <c r="AS6" s="5">
        <f t="shared" si="10"/>
        <v>0</v>
      </c>
      <c r="AT6" s="5">
        <f t="shared" si="11"/>
        <v>0</v>
      </c>
      <c r="AU6" s="5">
        <f t="shared" si="12"/>
        <v>0</v>
      </c>
      <c r="AV6" s="5">
        <f t="shared" si="13"/>
        <v>0</v>
      </c>
      <c r="AW6" s="5">
        <f t="shared" si="14"/>
        <v>0</v>
      </c>
      <c r="AX6" s="5">
        <f t="shared" si="15"/>
        <v>0</v>
      </c>
      <c r="AY6" s="5">
        <f t="shared" si="16"/>
        <v>0</v>
      </c>
      <c r="AZ6" s="5">
        <f t="shared" si="17"/>
        <v>0</v>
      </c>
      <c r="BA6" s="5">
        <f t="shared" si="18"/>
        <v>0</v>
      </c>
      <c r="BB6" s="5">
        <f t="shared" si="19"/>
        <v>0</v>
      </c>
      <c r="BC6" s="5">
        <f t="shared" si="20"/>
        <v>982.375</v>
      </c>
      <c r="BD6" s="5">
        <f t="shared" si="21"/>
        <v>0</v>
      </c>
      <c r="BE6" s="5">
        <f t="shared" si="22"/>
        <v>982.375</v>
      </c>
      <c r="BF6" s="5">
        <f t="shared" si="23"/>
        <v>0</v>
      </c>
      <c r="BG6" s="5">
        <f t="shared" si="24"/>
        <v>0</v>
      </c>
      <c r="BH6" s="5">
        <f t="shared" si="25"/>
        <v>0</v>
      </c>
      <c r="BI6" s="5">
        <f t="shared" si="26"/>
        <v>0</v>
      </c>
      <c r="BJ6" s="5">
        <f t="shared" si="27"/>
        <v>0</v>
      </c>
      <c r="BK6" s="5">
        <f t="shared" si="28"/>
        <v>0</v>
      </c>
      <c r="BL6" s="5">
        <f t="shared" si="29"/>
        <v>1964.75</v>
      </c>
      <c r="BM6" s="5">
        <f t="shared" si="30"/>
        <v>0</v>
      </c>
      <c r="BN6" s="5">
        <f t="shared" si="31"/>
        <v>0</v>
      </c>
      <c r="BO6" s="12">
        <f t="shared" si="32"/>
        <v>3929.5</v>
      </c>
      <c r="BP6" s="12">
        <f t="shared" si="33"/>
        <v>0</v>
      </c>
    </row>
    <row r="7" spans="1:68">
      <c r="A7" s="1" t="s">
        <v>93</v>
      </c>
      <c r="B7" s="1">
        <v>375</v>
      </c>
      <c r="C7" s="1" t="s">
        <v>92</v>
      </c>
      <c r="D7" s="1">
        <v>375</v>
      </c>
      <c r="E7" s="1" t="s">
        <v>469</v>
      </c>
      <c r="F7" s="5">
        <v>3919.9</v>
      </c>
      <c r="G7" s="5">
        <f t="shared" si="1"/>
        <v>3919.9</v>
      </c>
      <c r="I7" s="19">
        <f t="shared" si="2"/>
        <v>3919.9</v>
      </c>
      <c r="J7" s="18">
        <v>0.14000000000000001</v>
      </c>
      <c r="K7" s="18"/>
      <c r="L7" s="18"/>
      <c r="M7" s="18">
        <v>0.75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>
        <v>0.01</v>
      </c>
      <c r="Z7" s="18"/>
      <c r="AA7" s="18"/>
      <c r="AB7" s="18"/>
      <c r="AC7" s="18"/>
      <c r="AD7" s="18"/>
      <c r="AE7" s="18">
        <v>0.04</v>
      </c>
      <c r="AF7" s="18"/>
      <c r="AG7" s="18"/>
      <c r="AH7" s="18"/>
      <c r="AI7" s="18"/>
      <c r="AJ7" s="18"/>
      <c r="AK7" s="18">
        <v>0.06</v>
      </c>
      <c r="AL7" s="21">
        <f t="shared" si="3"/>
        <v>1</v>
      </c>
      <c r="AM7" s="5">
        <f t="shared" si="4"/>
        <v>548.78600000000006</v>
      </c>
      <c r="AN7" s="5">
        <f t="shared" si="5"/>
        <v>0</v>
      </c>
      <c r="AO7" s="5">
        <f t="shared" si="6"/>
        <v>0</v>
      </c>
      <c r="AP7" s="5">
        <f t="shared" si="7"/>
        <v>2939.9250000000002</v>
      </c>
      <c r="AQ7" s="5">
        <f t="shared" si="8"/>
        <v>0</v>
      </c>
      <c r="AR7" s="5">
        <f t="shared" si="9"/>
        <v>0</v>
      </c>
      <c r="AS7" s="5">
        <f t="shared" si="10"/>
        <v>0</v>
      </c>
      <c r="AT7" s="5">
        <f t="shared" si="11"/>
        <v>0</v>
      </c>
      <c r="AU7" s="5">
        <f t="shared" si="12"/>
        <v>0</v>
      </c>
      <c r="AV7" s="5">
        <f t="shared" si="13"/>
        <v>0</v>
      </c>
      <c r="AW7" s="5">
        <f t="shared" si="14"/>
        <v>0</v>
      </c>
      <c r="AX7" s="5">
        <f t="shared" si="15"/>
        <v>0</v>
      </c>
      <c r="AY7" s="5">
        <f t="shared" si="16"/>
        <v>0</v>
      </c>
      <c r="AZ7" s="5">
        <f t="shared" si="17"/>
        <v>0</v>
      </c>
      <c r="BA7" s="5">
        <f t="shared" si="18"/>
        <v>0</v>
      </c>
      <c r="BB7" s="5">
        <f t="shared" si="19"/>
        <v>39.199000000000005</v>
      </c>
      <c r="BC7" s="5">
        <f t="shared" si="20"/>
        <v>0</v>
      </c>
      <c r="BD7" s="5">
        <f t="shared" si="21"/>
        <v>0</v>
      </c>
      <c r="BE7" s="5">
        <f t="shared" si="22"/>
        <v>0</v>
      </c>
      <c r="BF7" s="5">
        <f t="shared" si="23"/>
        <v>0</v>
      </c>
      <c r="BG7" s="5">
        <f t="shared" si="24"/>
        <v>0</v>
      </c>
      <c r="BH7" s="5">
        <f t="shared" si="25"/>
        <v>156.79600000000002</v>
      </c>
      <c r="BI7" s="5">
        <f t="shared" si="26"/>
        <v>0</v>
      </c>
      <c r="BJ7" s="5">
        <f t="shared" si="27"/>
        <v>0</v>
      </c>
      <c r="BK7" s="5">
        <f t="shared" si="28"/>
        <v>0</v>
      </c>
      <c r="BL7" s="5">
        <f t="shared" si="29"/>
        <v>0</v>
      </c>
      <c r="BM7" s="5">
        <f t="shared" si="30"/>
        <v>0</v>
      </c>
      <c r="BN7" s="5">
        <f t="shared" si="31"/>
        <v>235.19399999999999</v>
      </c>
      <c r="BO7" s="12">
        <f t="shared" si="32"/>
        <v>3919.9</v>
      </c>
      <c r="BP7" s="12">
        <f t="shared" si="33"/>
        <v>0</v>
      </c>
    </row>
    <row r="8" spans="1:68">
      <c r="A8" s="1" t="s">
        <v>87</v>
      </c>
      <c r="B8" s="1">
        <v>375</v>
      </c>
      <c r="C8" s="1" t="s">
        <v>86</v>
      </c>
      <c r="D8" s="1">
        <v>375</v>
      </c>
      <c r="E8" s="1" t="s">
        <v>469</v>
      </c>
      <c r="F8" s="5">
        <v>3906.62</v>
      </c>
      <c r="G8" s="5">
        <f t="shared" si="1"/>
        <v>3906.62</v>
      </c>
      <c r="I8" s="19">
        <f t="shared" si="2"/>
        <v>3906.62</v>
      </c>
      <c r="J8" s="18"/>
      <c r="K8" s="18"/>
      <c r="L8" s="18">
        <v>1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1">
        <f t="shared" si="3"/>
        <v>1</v>
      </c>
      <c r="AM8" s="5">
        <f t="shared" si="4"/>
        <v>0</v>
      </c>
      <c r="AN8" s="5">
        <f t="shared" si="5"/>
        <v>0</v>
      </c>
      <c r="AO8" s="5">
        <f t="shared" si="6"/>
        <v>3906.62</v>
      </c>
      <c r="AP8" s="5">
        <f t="shared" si="7"/>
        <v>0</v>
      </c>
      <c r="AQ8" s="5">
        <f t="shared" si="8"/>
        <v>0</v>
      </c>
      <c r="AR8" s="5">
        <f t="shared" si="9"/>
        <v>0</v>
      </c>
      <c r="AS8" s="5">
        <f t="shared" si="10"/>
        <v>0</v>
      </c>
      <c r="AT8" s="5">
        <f t="shared" si="11"/>
        <v>0</v>
      </c>
      <c r="AU8" s="5">
        <f t="shared" si="12"/>
        <v>0</v>
      </c>
      <c r="AV8" s="5">
        <f t="shared" si="13"/>
        <v>0</v>
      </c>
      <c r="AW8" s="5">
        <f t="shared" si="14"/>
        <v>0</v>
      </c>
      <c r="AX8" s="5">
        <f t="shared" si="15"/>
        <v>0</v>
      </c>
      <c r="AY8" s="5">
        <f t="shared" si="16"/>
        <v>0</v>
      </c>
      <c r="AZ8" s="5">
        <f t="shared" si="17"/>
        <v>0</v>
      </c>
      <c r="BA8" s="5">
        <f t="shared" si="18"/>
        <v>0</v>
      </c>
      <c r="BB8" s="5">
        <f t="shared" si="19"/>
        <v>0</v>
      </c>
      <c r="BC8" s="5">
        <f t="shared" si="20"/>
        <v>0</v>
      </c>
      <c r="BD8" s="5">
        <f t="shared" si="21"/>
        <v>0</v>
      </c>
      <c r="BE8" s="5">
        <f t="shared" si="22"/>
        <v>0</v>
      </c>
      <c r="BF8" s="5">
        <f t="shared" si="23"/>
        <v>0</v>
      </c>
      <c r="BG8" s="5">
        <f t="shared" si="24"/>
        <v>0</v>
      </c>
      <c r="BH8" s="5">
        <f t="shared" si="25"/>
        <v>0</v>
      </c>
      <c r="BI8" s="5">
        <f t="shared" si="26"/>
        <v>0</v>
      </c>
      <c r="BJ8" s="5">
        <f t="shared" si="27"/>
        <v>0</v>
      </c>
      <c r="BK8" s="5">
        <f t="shared" si="28"/>
        <v>0</v>
      </c>
      <c r="BL8" s="5">
        <f t="shared" si="29"/>
        <v>0</v>
      </c>
      <c r="BM8" s="5">
        <f t="shared" si="30"/>
        <v>0</v>
      </c>
      <c r="BN8" s="5">
        <f t="shared" si="31"/>
        <v>0</v>
      </c>
      <c r="BO8" s="12">
        <f t="shared" si="32"/>
        <v>3906.62</v>
      </c>
      <c r="BP8" s="12">
        <f t="shared" si="33"/>
        <v>0</v>
      </c>
    </row>
    <row r="9" spans="1:68">
      <c r="A9" s="1" t="s">
        <v>43</v>
      </c>
      <c r="B9" s="1">
        <v>375</v>
      </c>
      <c r="C9" s="1" t="s">
        <v>42</v>
      </c>
      <c r="D9" s="1">
        <v>375</v>
      </c>
      <c r="E9" s="1" t="s">
        <v>469</v>
      </c>
      <c r="F9" s="5">
        <v>3852.4</v>
      </c>
      <c r="G9" s="5">
        <f t="shared" si="1"/>
        <v>3852.4</v>
      </c>
      <c r="I9" s="19">
        <f t="shared" si="2"/>
        <v>3852.4</v>
      </c>
      <c r="J9" s="18"/>
      <c r="K9" s="18"/>
      <c r="L9" s="18"/>
      <c r="M9" s="18"/>
      <c r="N9" s="18"/>
      <c r="O9" s="18">
        <v>0.2</v>
      </c>
      <c r="P9" s="18">
        <v>0.2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>
        <v>0.6</v>
      </c>
      <c r="AH9" s="18"/>
      <c r="AI9" s="18"/>
      <c r="AJ9" s="18"/>
      <c r="AK9" s="18"/>
      <c r="AL9" s="21">
        <f t="shared" si="3"/>
        <v>1</v>
      </c>
      <c r="AM9" s="5">
        <f t="shared" si="4"/>
        <v>0</v>
      </c>
      <c r="AN9" s="5">
        <f t="shared" si="5"/>
        <v>0</v>
      </c>
      <c r="AO9" s="5">
        <f t="shared" si="6"/>
        <v>0</v>
      </c>
      <c r="AP9" s="5">
        <f t="shared" si="7"/>
        <v>0</v>
      </c>
      <c r="AQ9" s="5">
        <f t="shared" si="8"/>
        <v>0</v>
      </c>
      <c r="AR9" s="5">
        <f t="shared" si="9"/>
        <v>770.48</v>
      </c>
      <c r="AS9" s="5">
        <f t="shared" si="10"/>
        <v>770.48</v>
      </c>
      <c r="AT9" s="5">
        <f t="shared" si="11"/>
        <v>0</v>
      </c>
      <c r="AU9" s="5">
        <f t="shared" si="12"/>
        <v>0</v>
      </c>
      <c r="AV9" s="5">
        <f t="shared" si="13"/>
        <v>0</v>
      </c>
      <c r="AW9" s="5">
        <f t="shared" si="14"/>
        <v>0</v>
      </c>
      <c r="AX9" s="5">
        <f t="shared" si="15"/>
        <v>0</v>
      </c>
      <c r="AY9" s="5">
        <f t="shared" si="16"/>
        <v>0</v>
      </c>
      <c r="AZ9" s="5">
        <f t="shared" si="17"/>
        <v>0</v>
      </c>
      <c r="BA9" s="5">
        <f t="shared" si="18"/>
        <v>0</v>
      </c>
      <c r="BB9" s="5">
        <f t="shared" si="19"/>
        <v>0</v>
      </c>
      <c r="BC9" s="5">
        <f t="shared" si="20"/>
        <v>0</v>
      </c>
      <c r="BD9" s="5">
        <f t="shared" si="21"/>
        <v>0</v>
      </c>
      <c r="BE9" s="5">
        <f t="shared" si="22"/>
        <v>0</v>
      </c>
      <c r="BF9" s="5">
        <f t="shared" si="23"/>
        <v>0</v>
      </c>
      <c r="BG9" s="5">
        <f t="shared" si="24"/>
        <v>0</v>
      </c>
      <c r="BH9" s="5">
        <f t="shared" si="25"/>
        <v>0</v>
      </c>
      <c r="BI9" s="5">
        <f t="shared" si="26"/>
        <v>0</v>
      </c>
      <c r="BJ9" s="5">
        <f t="shared" si="27"/>
        <v>2311.44</v>
      </c>
      <c r="BK9" s="5">
        <f t="shared" si="28"/>
        <v>0</v>
      </c>
      <c r="BL9" s="5">
        <f t="shared" si="29"/>
        <v>0</v>
      </c>
      <c r="BM9" s="5">
        <f t="shared" si="30"/>
        <v>0</v>
      </c>
      <c r="BN9" s="5">
        <f t="shared" si="31"/>
        <v>0</v>
      </c>
      <c r="BO9" s="12">
        <f t="shared" si="32"/>
        <v>3852.4</v>
      </c>
      <c r="BP9" s="12">
        <f t="shared" si="33"/>
        <v>0</v>
      </c>
    </row>
    <row r="10" spans="1:68">
      <c r="A10" s="1" t="s">
        <v>53</v>
      </c>
      <c r="B10" s="1">
        <v>375</v>
      </c>
      <c r="C10" s="1" t="s">
        <v>52</v>
      </c>
      <c r="D10" s="1">
        <v>375</v>
      </c>
      <c r="E10" s="1" t="s">
        <v>469</v>
      </c>
      <c r="F10" s="5">
        <v>3806.97</v>
      </c>
      <c r="G10" s="5">
        <f t="shared" si="1"/>
        <v>3806.97</v>
      </c>
      <c r="I10" s="19">
        <f t="shared" si="2"/>
        <v>3806.97</v>
      </c>
      <c r="J10" s="18"/>
      <c r="K10" s="18"/>
      <c r="L10" s="18">
        <v>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1">
        <f t="shared" si="3"/>
        <v>1</v>
      </c>
      <c r="AM10" s="5">
        <f t="shared" si="4"/>
        <v>0</v>
      </c>
      <c r="AN10" s="5">
        <f t="shared" si="5"/>
        <v>0</v>
      </c>
      <c r="AO10" s="5">
        <f t="shared" si="6"/>
        <v>3806.97</v>
      </c>
      <c r="AP10" s="5">
        <f t="shared" si="7"/>
        <v>0</v>
      </c>
      <c r="AQ10" s="5">
        <f t="shared" si="8"/>
        <v>0</v>
      </c>
      <c r="AR10" s="5">
        <f t="shared" si="9"/>
        <v>0</v>
      </c>
      <c r="AS10" s="5">
        <f t="shared" si="10"/>
        <v>0</v>
      </c>
      <c r="AT10" s="5">
        <f t="shared" si="11"/>
        <v>0</v>
      </c>
      <c r="AU10" s="5">
        <f t="shared" si="12"/>
        <v>0</v>
      </c>
      <c r="AV10" s="5">
        <f t="shared" si="13"/>
        <v>0</v>
      </c>
      <c r="AW10" s="5">
        <f t="shared" si="14"/>
        <v>0</v>
      </c>
      <c r="AX10" s="5">
        <f t="shared" si="15"/>
        <v>0</v>
      </c>
      <c r="AY10" s="5">
        <f t="shared" si="16"/>
        <v>0</v>
      </c>
      <c r="AZ10" s="5">
        <f t="shared" si="17"/>
        <v>0</v>
      </c>
      <c r="BA10" s="5">
        <f t="shared" si="18"/>
        <v>0</v>
      </c>
      <c r="BB10" s="5">
        <f t="shared" si="19"/>
        <v>0</v>
      </c>
      <c r="BC10" s="5">
        <f t="shared" si="20"/>
        <v>0</v>
      </c>
      <c r="BD10" s="5">
        <f t="shared" si="21"/>
        <v>0</v>
      </c>
      <c r="BE10" s="5">
        <f t="shared" si="22"/>
        <v>0</v>
      </c>
      <c r="BF10" s="5">
        <f t="shared" si="23"/>
        <v>0</v>
      </c>
      <c r="BG10" s="5">
        <f t="shared" si="24"/>
        <v>0</v>
      </c>
      <c r="BH10" s="5">
        <f t="shared" si="25"/>
        <v>0</v>
      </c>
      <c r="BI10" s="5">
        <f t="shared" si="26"/>
        <v>0</v>
      </c>
      <c r="BJ10" s="5">
        <f t="shared" si="27"/>
        <v>0</v>
      </c>
      <c r="BK10" s="5">
        <f t="shared" si="28"/>
        <v>0</v>
      </c>
      <c r="BL10" s="5">
        <f t="shared" si="29"/>
        <v>0</v>
      </c>
      <c r="BM10" s="5">
        <f t="shared" si="30"/>
        <v>0</v>
      </c>
      <c r="BN10" s="5">
        <f t="shared" si="31"/>
        <v>0</v>
      </c>
      <c r="BO10" s="12">
        <f t="shared" si="32"/>
        <v>3806.97</v>
      </c>
      <c r="BP10" s="12">
        <f t="shared" si="33"/>
        <v>0</v>
      </c>
    </row>
    <row r="11" spans="1:68">
      <c r="A11" s="1" t="s">
        <v>7</v>
      </c>
      <c r="B11" s="1">
        <v>375</v>
      </c>
      <c r="C11" s="1" t="s">
        <v>6</v>
      </c>
      <c r="D11" s="1">
        <v>375</v>
      </c>
      <c r="E11" s="1" t="s">
        <v>469</v>
      </c>
      <c r="F11" s="5">
        <v>3771.31</v>
      </c>
      <c r="G11" s="5">
        <f t="shared" si="1"/>
        <v>3771.31</v>
      </c>
      <c r="I11" s="19">
        <f t="shared" si="2"/>
        <v>3771.31</v>
      </c>
      <c r="J11" s="18"/>
      <c r="K11" s="18"/>
      <c r="L11" s="18">
        <v>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1">
        <f t="shared" si="3"/>
        <v>1</v>
      </c>
      <c r="AM11" s="5">
        <f t="shared" si="4"/>
        <v>0</v>
      </c>
      <c r="AN11" s="5">
        <f t="shared" si="5"/>
        <v>0</v>
      </c>
      <c r="AO11" s="5">
        <f t="shared" si="6"/>
        <v>3771.31</v>
      </c>
      <c r="AP11" s="5">
        <f t="shared" si="7"/>
        <v>0</v>
      </c>
      <c r="AQ11" s="5">
        <f t="shared" si="8"/>
        <v>0</v>
      </c>
      <c r="AR11" s="5">
        <f t="shared" si="9"/>
        <v>0</v>
      </c>
      <c r="AS11" s="5">
        <f t="shared" si="10"/>
        <v>0</v>
      </c>
      <c r="AT11" s="5">
        <f t="shared" si="11"/>
        <v>0</v>
      </c>
      <c r="AU11" s="5">
        <f t="shared" si="12"/>
        <v>0</v>
      </c>
      <c r="AV11" s="5">
        <f t="shared" si="13"/>
        <v>0</v>
      </c>
      <c r="AW11" s="5">
        <f t="shared" si="14"/>
        <v>0</v>
      </c>
      <c r="AX11" s="5">
        <f t="shared" si="15"/>
        <v>0</v>
      </c>
      <c r="AY11" s="5">
        <f t="shared" si="16"/>
        <v>0</v>
      </c>
      <c r="AZ11" s="5">
        <f t="shared" si="17"/>
        <v>0</v>
      </c>
      <c r="BA11" s="5">
        <f t="shared" si="18"/>
        <v>0</v>
      </c>
      <c r="BB11" s="5">
        <f t="shared" si="19"/>
        <v>0</v>
      </c>
      <c r="BC11" s="5">
        <f t="shared" si="20"/>
        <v>0</v>
      </c>
      <c r="BD11" s="5">
        <f t="shared" si="21"/>
        <v>0</v>
      </c>
      <c r="BE11" s="5">
        <f t="shared" si="22"/>
        <v>0</v>
      </c>
      <c r="BF11" s="5">
        <f t="shared" si="23"/>
        <v>0</v>
      </c>
      <c r="BG11" s="5">
        <f t="shared" si="24"/>
        <v>0</v>
      </c>
      <c r="BH11" s="5">
        <f t="shared" si="25"/>
        <v>0</v>
      </c>
      <c r="BI11" s="5">
        <f t="shared" si="26"/>
        <v>0</v>
      </c>
      <c r="BJ11" s="5">
        <f t="shared" si="27"/>
        <v>0</v>
      </c>
      <c r="BK11" s="5">
        <f t="shared" si="28"/>
        <v>0</v>
      </c>
      <c r="BL11" s="5">
        <f t="shared" si="29"/>
        <v>0</v>
      </c>
      <c r="BM11" s="5">
        <f t="shared" si="30"/>
        <v>0</v>
      </c>
      <c r="BN11" s="5">
        <f t="shared" si="31"/>
        <v>0</v>
      </c>
      <c r="BO11" s="12">
        <f t="shared" si="32"/>
        <v>3771.31</v>
      </c>
      <c r="BP11" s="12">
        <f t="shared" si="33"/>
        <v>0</v>
      </c>
    </row>
    <row r="12" spans="1:68">
      <c r="A12" s="1" t="s">
        <v>81</v>
      </c>
      <c r="B12" s="1">
        <v>375</v>
      </c>
      <c r="C12" s="1" t="s">
        <v>80</v>
      </c>
      <c r="D12" s="1">
        <v>375</v>
      </c>
      <c r="E12" s="1" t="s">
        <v>469</v>
      </c>
      <c r="F12" s="5">
        <v>3746.18</v>
      </c>
      <c r="G12" s="5">
        <f t="shared" si="1"/>
        <v>3746.18</v>
      </c>
      <c r="I12" s="19">
        <f t="shared" si="2"/>
        <v>3746.18</v>
      </c>
      <c r="J12" s="18"/>
      <c r="K12" s="18">
        <v>1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1">
        <f t="shared" si="3"/>
        <v>1</v>
      </c>
      <c r="AM12" s="5">
        <f t="shared" si="4"/>
        <v>0</v>
      </c>
      <c r="AN12" s="5">
        <f t="shared" si="5"/>
        <v>3746.18</v>
      </c>
      <c r="AO12" s="5">
        <f t="shared" si="6"/>
        <v>0</v>
      </c>
      <c r="AP12" s="5">
        <f t="shared" si="7"/>
        <v>0</v>
      </c>
      <c r="AQ12" s="5">
        <f t="shared" si="8"/>
        <v>0</v>
      </c>
      <c r="AR12" s="5">
        <f t="shared" si="9"/>
        <v>0</v>
      </c>
      <c r="AS12" s="5">
        <f t="shared" si="10"/>
        <v>0</v>
      </c>
      <c r="AT12" s="5">
        <f t="shared" si="11"/>
        <v>0</v>
      </c>
      <c r="AU12" s="5">
        <f t="shared" si="12"/>
        <v>0</v>
      </c>
      <c r="AV12" s="5">
        <f t="shared" si="13"/>
        <v>0</v>
      </c>
      <c r="AW12" s="5">
        <f t="shared" si="14"/>
        <v>0</v>
      </c>
      <c r="AX12" s="5">
        <f t="shared" si="15"/>
        <v>0</v>
      </c>
      <c r="AY12" s="5">
        <f t="shared" si="16"/>
        <v>0</v>
      </c>
      <c r="AZ12" s="5">
        <f t="shared" si="17"/>
        <v>0</v>
      </c>
      <c r="BA12" s="5">
        <f t="shared" si="18"/>
        <v>0</v>
      </c>
      <c r="BB12" s="5">
        <f t="shared" si="19"/>
        <v>0</v>
      </c>
      <c r="BC12" s="5">
        <f t="shared" si="20"/>
        <v>0</v>
      </c>
      <c r="BD12" s="5">
        <f t="shared" si="21"/>
        <v>0</v>
      </c>
      <c r="BE12" s="5">
        <f t="shared" si="22"/>
        <v>0</v>
      </c>
      <c r="BF12" s="5">
        <f t="shared" si="23"/>
        <v>0</v>
      </c>
      <c r="BG12" s="5">
        <f t="shared" si="24"/>
        <v>0</v>
      </c>
      <c r="BH12" s="5">
        <f t="shared" si="25"/>
        <v>0</v>
      </c>
      <c r="BI12" s="5">
        <f t="shared" si="26"/>
        <v>0</v>
      </c>
      <c r="BJ12" s="5">
        <f t="shared" si="27"/>
        <v>0</v>
      </c>
      <c r="BK12" s="5">
        <f t="shared" si="28"/>
        <v>0</v>
      </c>
      <c r="BL12" s="5">
        <f t="shared" si="29"/>
        <v>0</v>
      </c>
      <c r="BM12" s="5">
        <f t="shared" si="30"/>
        <v>0</v>
      </c>
      <c r="BN12" s="5">
        <f t="shared" si="31"/>
        <v>0</v>
      </c>
      <c r="BO12" s="12">
        <f t="shared" si="32"/>
        <v>3746.18</v>
      </c>
      <c r="BP12" s="12">
        <f t="shared" si="33"/>
        <v>0</v>
      </c>
    </row>
    <row r="13" spans="1:68">
      <c r="A13" s="1" t="s">
        <v>31</v>
      </c>
      <c r="B13" s="15">
        <v>375</v>
      </c>
      <c r="C13" s="15" t="s">
        <v>30</v>
      </c>
      <c r="D13" s="1">
        <v>375</v>
      </c>
      <c r="E13" s="1" t="s">
        <v>469</v>
      </c>
      <c r="F13" s="5">
        <v>3703.04</v>
      </c>
      <c r="G13" s="5">
        <f t="shared" si="1"/>
        <v>3703.04</v>
      </c>
      <c r="I13" s="19">
        <f t="shared" si="2"/>
        <v>3703.04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>
        <v>1</v>
      </c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1">
        <f t="shared" si="3"/>
        <v>1</v>
      </c>
      <c r="AM13" s="5">
        <f t="shared" si="4"/>
        <v>0</v>
      </c>
      <c r="AN13" s="5">
        <f t="shared" si="5"/>
        <v>0</v>
      </c>
      <c r="AO13" s="5">
        <f t="shared" si="6"/>
        <v>0</v>
      </c>
      <c r="AP13" s="5">
        <f t="shared" si="7"/>
        <v>0</v>
      </c>
      <c r="AQ13" s="5">
        <f t="shared" si="8"/>
        <v>0</v>
      </c>
      <c r="AR13" s="5">
        <f t="shared" si="9"/>
        <v>0</v>
      </c>
      <c r="AS13" s="5">
        <f t="shared" si="10"/>
        <v>0</v>
      </c>
      <c r="AT13" s="5">
        <f t="shared" si="11"/>
        <v>0</v>
      </c>
      <c r="AU13" s="5">
        <f t="shared" si="12"/>
        <v>0</v>
      </c>
      <c r="AV13" s="5">
        <f t="shared" si="13"/>
        <v>0</v>
      </c>
      <c r="AW13" s="5">
        <f t="shared" si="14"/>
        <v>0</v>
      </c>
      <c r="AX13" s="5">
        <f t="shared" si="15"/>
        <v>0</v>
      </c>
      <c r="AY13" s="5">
        <f t="shared" si="16"/>
        <v>0</v>
      </c>
      <c r="AZ13" s="5">
        <f t="shared" si="17"/>
        <v>3703.04</v>
      </c>
      <c r="BA13" s="5">
        <f t="shared" si="18"/>
        <v>0</v>
      </c>
      <c r="BB13" s="5">
        <f t="shared" si="19"/>
        <v>0</v>
      </c>
      <c r="BC13" s="5">
        <f t="shared" si="20"/>
        <v>0</v>
      </c>
      <c r="BD13" s="5">
        <f t="shared" si="21"/>
        <v>0</v>
      </c>
      <c r="BE13" s="5">
        <f t="shared" si="22"/>
        <v>0</v>
      </c>
      <c r="BF13" s="5">
        <f t="shared" si="23"/>
        <v>0</v>
      </c>
      <c r="BG13" s="5">
        <f t="shared" si="24"/>
        <v>0</v>
      </c>
      <c r="BH13" s="5">
        <f t="shared" si="25"/>
        <v>0</v>
      </c>
      <c r="BI13" s="5">
        <f t="shared" si="26"/>
        <v>0</v>
      </c>
      <c r="BJ13" s="5">
        <f t="shared" si="27"/>
        <v>0</v>
      </c>
      <c r="BK13" s="5">
        <f t="shared" si="28"/>
        <v>0</v>
      </c>
      <c r="BL13" s="5">
        <f t="shared" si="29"/>
        <v>0</v>
      </c>
      <c r="BM13" s="5">
        <f t="shared" si="30"/>
        <v>0</v>
      </c>
      <c r="BN13" s="5">
        <f t="shared" si="31"/>
        <v>0</v>
      </c>
      <c r="BO13" s="12">
        <f t="shared" si="32"/>
        <v>3703.04</v>
      </c>
      <c r="BP13" s="12">
        <f t="shared" si="33"/>
        <v>0</v>
      </c>
    </row>
    <row r="14" spans="1:68">
      <c r="A14" s="1" t="s">
        <v>55</v>
      </c>
      <c r="B14" s="1">
        <v>375</v>
      </c>
      <c r="C14" s="1" t="s">
        <v>54</v>
      </c>
      <c r="D14" s="1">
        <v>375</v>
      </c>
      <c r="E14" s="1" t="s">
        <v>469</v>
      </c>
      <c r="F14" s="5">
        <v>3688.71</v>
      </c>
      <c r="G14" s="5">
        <f t="shared" si="1"/>
        <v>3688.71</v>
      </c>
      <c r="I14" s="19">
        <f t="shared" si="2"/>
        <v>3688.71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>
        <v>1</v>
      </c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1">
        <f t="shared" si="3"/>
        <v>1</v>
      </c>
      <c r="AM14" s="5">
        <f t="shared" si="4"/>
        <v>0</v>
      </c>
      <c r="AN14" s="5">
        <f t="shared" si="5"/>
        <v>0</v>
      </c>
      <c r="AO14" s="5">
        <f t="shared" si="6"/>
        <v>0</v>
      </c>
      <c r="AP14" s="5">
        <f t="shared" si="7"/>
        <v>0</v>
      </c>
      <c r="AQ14" s="5">
        <f t="shared" si="8"/>
        <v>0</v>
      </c>
      <c r="AR14" s="5">
        <f t="shared" si="9"/>
        <v>0</v>
      </c>
      <c r="AS14" s="5">
        <f t="shared" si="10"/>
        <v>0</v>
      </c>
      <c r="AT14" s="5">
        <f t="shared" si="11"/>
        <v>0</v>
      </c>
      <c r="AU14" s="5">
        <f t="shared" si="12"/>
        <v>0</v>
      </c>
      <c r="AV14" s="5">
        <f t="shared" si="13"/>
        <v>0</v>
      </c>
      <c r="AW14" s="5">
        <f t="shared" si="14"/>
        <v>0</v>
      </c>
      <c r="AX14" s="5">
        <f t="shared" si="15"/>
        <v>0</v>
      </c>
      <c r="AY14" s="5">
        <f t="shared" si="16"/>
        <v>0</v>
      </c>
      <c r="AZ14" s="5">
        <f t="shared" si="17"/>
        <v>0</v>
      </c>
      <c r="BA14" s="5">
        <f t="shared" si="18"/>
        <v>3688.71</v>
      </c>
      <c r="BB14" s="5">
        <f t="shared" si="19"/>
        <v>0</v>
      </c>
      <c r="BC14" s="5">
        <f t="shared" si="20"/>
        <v>0</v>
      </c>
      <c r="BD14" s="5">
        <f t="shared" si="21"/>
        <v>0</v>
      </c>
      <c r="BE14" s="5">
        <f t="shared" si="22"/>
        <v>0</v>
      </c>
      <c r="BF14" s="5">
        <f t="shared" si="23"/>
        <v>0</v>
      </c>
      <c r="BG14" s="5">
        <f t="shared" si="24"/>
        <v>0</v>
      </c>
      <c r="BH14" s="5">
        <f t="shared" si="25"/>
        <v>0</v>
      </c>
      <c r="BI14" s="5">
        <f t="shared" si="26"/>
        <v>0</v>
      </c>
      <c r="BJ14" s="5">
        <f t="shared" si="27"/>
        <v>0</v>
      </c>
      <c r="BK14" s="5">
        <f t="shared" si="28"/>
        <v>0</v>
      </c>
      <c r="BL14" s="5">
        <f t="shared" si="29"/>
        <v>0</v>
      </c>
      <c r="BM14" s="5">
        <f t="shared" si="30"/>
        <v>0</v>
      </c>
      <c r="BN14" s="5">
        <f t="shared" si="31"/>
        <v>0</v>
      </c>
      <c r="BO14" s="12">
        <f t="shared" si="32"/>
        <v>3688.71</v>
      </c>
      <c r="BP14" s="12">
        <f t="shared" si="33"/>
        <v>0</v>
      </c>
    </row>
    <row r="15" spans="1:68">
      <c r="A15" s="1" t="s">
        <v>3</v>
      </c>
      <c r="B15" s="1">
        <v>375</v>
      </c>
      <c r="C15" s="1" t="s">
        <v>2</v>
      </c>
      <c r="D15" s="1">
        <v>375</v>
      </c>
      <c r="E15" s="1" t="s">
        <v>469</v>
      </c>
      <c r="F15" s="5">
        <v>3679.26</v>
      </c>
      <c r="G15" s="5">
        <f t="shared" si="1"/>
        <v>3679.26</v>
      </c>
      <c r="I15" s="19">
        <f t="shared" si="2"/>
        <v>3679.26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>
        <v>0.2</v>
      </c>
      <c r="AB15" s="18"/>
      <c r="AC15" s="18">
        <v>0.8</v>
      </c>
      <c r="AD15" s="18"/>
      <c r="AE15" s="18"/>
      <c r="AF15" s="18"/>
      <c r="AG15" s="18"/>
      <c r="AH15" s="18"/>
      <c r="AI15" s="18"/>
      <c r="AJ15" s="18"/>
      <c r="AK15" s="18"/>
      <c r="AL15" s="21">
        <f t="shared" si="3"/>
        <v>1</v>
      </c>
      <c r="AM15" s="5">
        <f t="shared" si="4"/>
        <v>0</v>
      </c>
      <c r="AN15" s="5">
        <f t="shared" si="5"/>
        <v>0</v>
      </c>
      <c r="AO15" s="5">
        <f t="shared" si="6"/>
        <v>0</v>
      </c>
      <c r="AP15" s="5">
        <f t="shared" si="7"/>
        <v>0</v>
      </c>
      <c r="AQ15" s="5">
        <f t="shared" si="8"/>
        <v>0</v>
      </c>
      <c r="AR15" s="5">
        <f t="shared" si="9"/>
        <v>0</v>
      </c>
      <c r="AS15" s="5">
        <f t="shared" si="10"/>
        <v>0</v>
      </c>
      <c r="AT15" s="5">
        <f t="shared" si="11"/>
        <v>0</v>
      </c>
      <c r="AU15" s="5">
        <f t="shared" si="12"/>
        <v>0</v>
      </c>
      <c r="AV15" s="5">
        <f t="shared" si="13"/>
        <v>0</v>
      </c>
      <c r="AW15" s="5">
        <f t="shared" si="14"/>
        <v>0</v>
      </c>
      <c r="AX15" s="5">
        <f t="shared" si="15"/>
        <v>0</v>
      </c>
      <c r="AY15" s="5">
        <f t="shared" si="16"/>
        <v>0</v>
      </c>
      <c r="AZ15" s="5">
        <f t="shared" si="17"/>
        <v>0</v>
      </c>
      <c r="BA15" s="5">
        <f t="shared" si="18"/>
        <v>0</v>
      </c>
      <c r="BB15" s="5">
        <f t="shared" si="19"/>
        <v>0</v>
      </c>
      <c r="BC15" s="5">
        <f t="shared" si="20"/>
        <v>0</v>
      </c>
      <c r="BD15" s="5">
        <f t="shared" si="21"/>
        <v>735.85200000000009</v>
      </c>
      <c r="BE15" s="5">
        <f t="shared" si="22"/>
        <v>0</v>
      </c>
      <c r="BF15" s="5">
        <f t="shared" si="23"/>
        <v>2943.4080000000004</v>
      </c>
      <c r="BG15" s="5">
        <f t="shared" si="24"/>
        <v>0</v>
      </c>
      <c r="BH15" s="5">
        <f t="shared" si="25"/>
        <v>0</v>
      </c>
      <c r="BI15" s="5">
        <f t="shared" si="26"/>
        <v>0</v>
      </c>
      <c r="BJ15" s="5">
        <f t="shared" si="27"/>
        <v>0</v>
      </c>
      <c r="BK15" s="5">
        <f t="shared" si="28"/>
        <v>0</v>
      </c>
      <c r="BL15" s="5">
        <f t="shared" si="29"/>
        <v>0</v>
      </c>
      <c r="BM15" s="5">
        <f t="shared" si="30"/>
        <v>0</v>
      </c>
      <c r="BN15" s="5">
        <f t="shared" si="31"/>
        <v>0</v>
      </c>
      <c r="BO15" s="12">
        <f t="shared" si="32"/>
        <v>3679.26</v>
      </c>
      <c r="BP15" s="12">
        <f t="shared" si="33"/>
        <v>0</v>
      </c>
    </row>
    <row r="16" spans="1:68">
      <c r="A16" s="1" t="s">
        <v>85</v>
      </c>
      <c r="B16" s="15">
        <v>375</v>
      </c>
      <c r="C16" s="1" t="s">
        <v>84</v>
      </c>
      <c r="D16" s="1">
        <v>375</v>
      </c>
      <c r="E16" s="1" t="s">
        <v>469</v>
      </c>
      <c r="F16" s="5">
        <v>3669.41</v>
      </c>
      <c r="G16" s="5">
        <f t="shared" si="1"/>
        <v>3669.41</v>
      </c>
      <c r="I16" s="19">
        <f t="shared" si="2"/>
        <v>3669.41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>
        <v>1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1">
        <f t="shared" si="3"/>
        <v>1</v>
      </c>
      <c r="AM16" s="5">
        <f t="shared" si="4"/>
        <v>0</v>
      </c>
      <c r="AN16" s="5">
        <f t="shared" si="5"/>
        <v>0</v>
      </c>
      <c r="AO16" s="5">
        <f t="shared" si="6"/>
        <v>0</v>
      </c>
      <c r="AP16" s="5">
        <f t="shared" si="7"/>
        <v>0</v>
      </c>
      <c r="AQ16" s="5">
        <f t="shared" si="8"/>
        <v>0</v>
      </c>
      <c r="AR16" s="5">
        <f t="shared" si="9"/>
        <v>0</v>
      </c>
      <c r="AS16" s="5">
        <f t="shared" si="10"/>
        <v>0</v>
      </c>
      <c r="AT16" s="5">
        <f t="shared" si="11"/>
        <v>0</v>
      </c>
      <c r="AU16" s="5">
        <f t="shared" si="12"/>
        <v>0</v>
      </c>
      <c r="AV16" s="5">
        <f t="shared" si="13"/>
        <v>0</v>
      </c>
      <c r="AW16" s="5">
        <f t="shared" si="14"/>
        <v>0</v>
      </c>
      <c r="AX16" s="5">
        <f t="shared" si="15"/>
        <v>0</v>
      </c>
      <c r="AY16" s="5">
        <f t="shared" si="16"/>
        <v>0</v>
      </c>
      <c r="AZ16" s="5">
        <f t="shared" si="17"/>
        <v>3669.41</v>
      </c>
      <c r="BA16" s="5">
        <f t="shared" si="18"/>
        <v>0</v>
      </c>
      <c r="BB16" s="5">
        <f t="shared" si="19"/>
        <v>0</v>
      </c>
      <c r="BC16" s="5">
        <f t="shared" si="20"/>
        <v>0</v>
      </c>
      <c r="BD16" s="5">
        <f t="shared" si="21"/>
        <v>0</v>
      </c>
      <c r="BE16" s="5">
        <f t="shared" si="22"/>
        <v>0</v>
      </c>
      <c r="BF16" s="5">
        <f t="shared" si="23"/>
        <v>0</v>
      </c>
      <c r="BG16" s="5">
        <f t="shared" si="24"/>
        <v>0</v>
      </c>
      <c r="BH16" s="5">
        <f t="shared" si="25"/>
        <v>0</v>
      </c>
      <c r="BI16" s="5">
        <f t="shared" si="26"/>
        <v>0</v>
      </c>
      <c r="BJ16" s="5">
        <f t="shared" si="27"/>
        <v>0</v>
      </c>
      <c r="BK16" s="5">
        <f t="shared" si="28"/>
        <v>0</v>
      </c>
      <c r="BL16" s="5">
        <f t="shared" si="29"/>
        <v>0</v>
      </c>
      <c r="BM16" s="5">
        <f t="shared" si="30"/>
        <v>0</v>
      </c>
      <c r="BN16" s="5">
        <f t="shared" si="31"/>
        <v>0</v>
      </c>
      <c r="BO16" s="12">
        <f t="shared" si="32"/>
        <v>3669.41</v>
      </c>
      <c r="BP16" s="12">
        <f t="shared" si="33"/>
        <v>0</v>
      </c>
    </row>
    <row r="17" spans="1:68">
      <c r="A17" s="1" t="s">
        <v>101</v>
      </c>
      <c r="B17" s="1">
        <v>375</v>
      </c>
      <c r="C17" s="1" t="s">
        <v>100</v>
      </c>
      <c r="D17" s="1">
        <v>375</v>
      </c>
      <c r="E17" s="1" t="s">
        <v>469</v>
      </c>
      <c r="F17" s="5">
        <v>3627.48</v>
      </c>
      <c r="G17" s="5">
        <f t="shared" si="1"/>
        <v>3627.48</v>
      </c>
      <c r="I17" s="19">
        <f t="shared" si="2"/>
        <v>3627.48</v>
      </c>
      <c r="J17" s="18"/>
      <c r="K17" s="18"/>
      <c r="L17" s="18"/>
      <c r="M17" s="18">
        <v>0.48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>
        <v>0.13</v>
      </c>
      <c r="Z17" s="18"/>
      <c r="AA17" s="18"/>
      <c r="AB17" s="18"/>
      <c r="AC17" s="18"/>
      <c r="AD17" s="18"/>
      <c r="AE17" s="18">
        <v>0.39</v>
      </c>
      <c r="AF17" s="18"/>
      <c r="AG17" s="18"/>
      <c r="AH17" s="18"/>
      <c r="AI17" s="18"/>
      <c r="AJ17" s="18"/>
      <c r="AK17" s="18"/>
      <c r="AL17" s="21">
        <f t="shared" si="3"/>
        <v>1</v>
      </c>
      <c r="AM17" s="5">
        <f t="shared" si="4"/>
        <v>0</v>
      </c>
      <c r="AN17" s="5">
        <f t="shared" si="5"/>
        <v>0</v>
      </c>
      <c r="AO17" s="5">
        <f t="shared" si="6"/>
        <v>0</v>
      </c>
      <c r="AP17" s="5">
        <f t="shared" si="7"/>
        <v>1741.1904</v>
      </c>
      <c r="AQ17" s="5">
        <f t="shared" si="8"/>
        <v>0</v>
      </c>
      <c r="AR17" s="5">
        <f t="shared" si="9"/>
        <v>0</v>
      </c>
      <c r="AS17" s="5">
        <f t="shared" si="10"/>
        <v>0</v>
      </c>
      <c r="AT17" s="5">
        <f t="shared" si="11"/>
        <v>0</v>
      </c>
      <c r="AU17" s="5">
        <f t="shared" si="12"/>
        <v>0</v>
      </c>
      <c r="AV17" s="5">
        <f t="shared" si="13"/>
        <v>0</v>
      </c>
      <c r="AW17" s="5">
        <f t="shared" si="14"/>
        <v>0</v>
      </c>
      <c r="AX17" s="5">
        <f t="shared" si="15"/>
        <v>0</v>
      </c>
      <c r="AY17" s="5">
        <f t="shared" si="16"/>
        <v>0</v>
      </c>
      <c r="AZ17" s="5">
        <f t="shared" si="17"/>
        <v>0</v>
      </c>
      <c r="BA17" s="5">
        <f t="shared" si="18"/>
        <v>0</v>
      </c>
      <c r="BB17" s="5">
        <f t="shared" si="19"/>
        <v>471.57240000000002</v>
      </c>
      <c r="BC17" s="5">
        <f t="shared" si="20"/>
        <v>0</v>
      </c>
      <c r="BD17" s="5">
        <f t="shared" si="21"/>
        <v>0</v>
      </c>
      <c r="BE17" s="5">
        <f t="shared" si="22"/>
        <v>0</v>
      </c>
      <c r="BF17" s="5">
        <f t="shared" si="23"/>
        <v>0</v>
      </c>
      <c r="BG17" s="5">
        <f t="shared" si="24"/>
        <v>0</v>
      </c>
      <c r="BH17" s="5">
        <f t="shared" si="25"/>
        <v>1414.7172</v>
      </c>
      <c r="BI17" s="5">
        <f t="shared" si="26"/>
        <v>0</v>
      </c>
      <c r="BJ17" s="5">
        <f t="shared" si="27"/>
        <v>0</v>
      </c>
      <c r="BK17" s="5">
        <f t="shared" si="28"/>
        <v>0</v>
      </c>
      <c r="BL17" s="5">
        <f t="shared" si="29"/>
        <v>0</v>
      </c>
      <c r="BM17" s="5">
        <f t="shared" si="30"/>
        <v>0</v>
      </c>
      <c r="BN17" s="5">
        <f t="shared" si="31"/>
        <v>0</v>
      </c>
      <c r="BO17" s="12">
        <f t="shared" si="32"/>
        <v>3627.48</v>
      </c>
      <c r="BP17" s="12">
        <f t="shared" si="33"/>
        <v>0</v>
      </c>
    </row>
    <row r="18" spans="1:68">
      <c r="A18" s="1" t="s">
        <v>47</v>
      </c>
      <c r="B18" s="1">
        <v>375</v>
      </c>
      <c r="C18" s="1" t="s">
        <v>46</v>
      </c>
      <c r="D18" s="1">
        <v>375</v>
      </c>
      <c r="E18" s="1" t="s">
        <v>469</v>
      </c>
      <c r="F18" s="5">
        <v>3575.56</v>
      </c>
      <c r="G18" s="5">
        <f t="shared" si="1"/>
        <v>3575.56</v>
      </c>
      <c r="I18" s="19">
        <f t="shared" si="2"/>
        <v>3575.56</v>
      </c>
      <c r="J18" s="18"/>
      <c r="K18" s="18"/>
      <c r="L18" s="18"/>
      <c r="M18" s="18"/>
      <c r="N18" s="18"/>
      <c r="O18" s="18"/>
      <c r="P18" s="18"/>
      <c r="Q18" s="18"/>
      <c r="R18" s="18">
        <v>0.01</v>
      </c>
      <c r="S18" s="18">
        <v>0.59</v>
      </c>
      <c r="T18" s="18">
        <v>0.01</v>
      </c>
      <c r="U18" s="18">
        <v>0.01</v>
      </c>
      <c r="V18" s="18">
        <v>0.35</v>
      </c>
      <c r="W18" s="18"/>
      <c r="X18" s="18"/>
      <c r="Y18" s="18"/>
      <c r="Z18" s="18"/>
      <c r="AA18" s="18">
        <v>0.03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1">
        <f t="shared" si="3"/>
        <v>1</v>
      </c>
      <c r="AM18" s="5">
        <f t="shared" si="4"/>
        <v>0</v>
      </c>
      <c r="AN18" s="5">
        <f t="shared" si="5"/>
        <v>0</v>
      </c>
      <c r="AO18" s="5">
        <f t="shared" si="6"/>
        <v>0</v>
      </c>
      <c r="AP18" s="5">
        <f t="shared" si="7"/>
        <v>0</v>
      </c>
      <c r="AQ18" s="5">
        <f t="shared" si="8"/>
        <v>0</v>
      </c>
      <c r="AR18" s="5">
        <f t="shared" si="9"/>
        <v>0</v>
      </c>
      <c r="AS18" s="5">
        <f t="shared" si="10"/>
        <v>0</v>
      </c>
      <c r="AT18" s="5">
        <f t="shared" si="11"/>
        <v>0</v>
      </c>
      <c r="AU18" s="5">
        <f t="shared" si="12"/>
        <v>35.755600000000001</v>
      </c>
      <c r="AV18" s="5">
        <f t="shared" si="13"/>
        <v>2109.5803999999998</v>
      </c>
      <c r="AW18" s="5">
        <f t="shared" si="14"/>
        <v>35.755600000000001</v>
      </c>
      <c r="AX18" s="5">
        <f t="shared" si="15"/>
        <v>35.755600000000001</v>
      </c>
      <c r="AY18" s="5">
        <f t="shared" si="16"/>
        <v>1251.4459999999999</v>
      </c>
      <c r="AZ18" s="5">
        <f t="shared" si="17"/>
        <v>0</v>
      </c>
      <c r="BA18" s="5">
        <f t="shared" si="18"/>
        <v>0</v>
      </c>
      <c r="BB18" s="5">
        <f t="shared" si="19"/>
        <v>0</v>
      </c>
      <c r="BC18" s="5">
        <f t="shared" si="20"/>
        <v>0</v>
      </c>
      <c r="BD18" s="5">
        <f t="shared" si="21"/>
        <v>107.26679999999999</v>
      </c>
      <c r="BE18" s="5">
        <f t="shared" si="22"/>
        <v>0</v>
      </c>
      <c r="BF18" s="5">
        <f t="shared" si="23"/>
        <v>0</v>
      </c>
      <c r="BG18" s="5">
        <f t="shared" si="24"/>
        <v>0</v>
      </c>
      <c r="BH18" s="5">
        <f t="shared" si="25"/>
        <v>0</v>
      </c>
      <c r="BI18" s="5">
        <f t="shared" si="26"/>
        <v>0</v>
      </c>
      <c r="BJ18" s="5">
        <f t="shared" si="27"/>
        <v>0</v>
      </c>
      <c r="BK18" s="5">
        <f t="shared" si="28"/>
        <v>0</v>
      </c>
      <c r="BL18" s="5">
        <f t="shared" si="29"/>
        <v>0</v>
      </c>
      <c r="BM18" s="5">
        <f t="shared" si="30"/>
        <v>0</v>
      </c>
      <c r="BN18" s="5">
        <f t="shared" si="31"/>
        <v>0</v>
      </c>
      <c r="BO18" s="12">
        <f t="shared" si="32"/>
        <v>3575.5599999999995</v>
      </c>
      <c r="BP18" s="12">
        <f t="shared" si="33"/>
        <v>0</v>
      </c>
    </row>
    <row r="19" spans="1:68">
      <c r="A19" s="1" t="s">
        <v>11</v>
      </c>
      <c r="B19" s="1">
        <v>375</v>
      </c>
      <c r="C19" s="1" t="s">
        <v>10</v>
      </c>
      <c r="D19" s="1">
        <v>375</v>
      </c>
      <c r="E19" s="1" t="s">
        <v>469</v>
      </c>
      <c r="F19" s="5">
        <v>3572.96</v>
      </c>
      <c r="G19" s="5">
        <f t="shared" si="1"/>
        <v>3572.96</v>
      </c>
      <c r="I19" s="19">
        <f t="shared" si="2"/>
        <v>3572.96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>
        <v>1</v>
      </c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1">
        <f t="shared" si="3"/>
        <v>1</v>
      </c>
      <c r="AM19" s="5">
        <f t="shared" si="4"/>
        <v>0</v>
      </c>
      <c r="AN19" s="5">
        <f t="shared" si="5"/>
        <v>0</v>
      </c>
      <c r="AO19" s="5">
        <f t="shared" si="6"/>
        <v>0</v>
      </c>
      <c r="AP19" s="5">
        <f t="shared" si="7"/>
        <v>0</v>
      </c>
      <c r="AQ19" s="5">
        <f t="shared" si="8"/>
        <v>0</v>
      </c>
      <c r="AR19" s="5">
        <f t="shared" si="9"/>
        <v>0</v>
      </c>
      <c r="AS19" s="5">
        <f t="shared" si="10"/>
        <v>0</v>
      </c>
      <c r="AT19" s="5">
        <f t="shared" si="11"/>
        <v>0</v>
      </c>
      <c r="AU19" s="5">
        <f t="shared" si="12"/>
        <v>0</v>
      </c>
      <c r="AV19" s="5">
        <f t="shared" si="13"/>
        <v>0</v>
      </c>
      <c r="AW19" s="5">
        <f t="shared" si="14"/>
        <v>0</v>
      </c>
      <c r="AX19" s="5">
        <f t="shared" si="15"/>
        <v>0</v>
      </c>
      <c r="AY19" s="5">
        <f t="shared" si="16"/>
        <v>0</v>
      </c>
      <c r="AZ19" s="5">
        <f t="shared" si="17"/>
        <v>3572.96</v>
      </c>
      <c r="BA19" s="5">
        <f t="shared" si="18"/>
        <v>0</v>
      </c>
      <c r="BB19" s="5">
        <f t="shared" si="19"/>
        <v>0</v>
      </c>
      <c r="BC19" s="5">
        <f t="shared" si="20"/>
        <v>0</v>
      </c>
      <c r="BD19" s="5">
        <f t="shared" si="21"/>
        <v>0</v>
      </c>
      <c r="BE19" s="5">
        <f t="shared" si="22"/>
        <v>0</v>
      </c>
      <c r="BF19" s="5">
        <f t="shared" si="23"/>
        <v>0</v>
      </c>
      <c r="BG19" s="5">
        <f t="shared" si="24"/>
        <v>0</v>
      </c>
      <c r="BH19" s="5">
        <f t="shared" si="25"/>
        <v>0</v>
      </c>
      <c r="BI19" s="5">
        <f t="shared" si="26"/>
        <v>0</v>
      </c>
      <c r="BJ19" s="5">
        <f t="shared" si="27"/>
        <v>0</v>
      </c>
      <c r="BK19" s="5">
        <f t="shared" si="28"/>
        <v>0</v>
      </c>
      <c r="BL19" s="5">
        <f t="shared" si="29"/>
        <v>0</v>
      </c>
      <c r="BM19" s="5">
        <f t="shared" si="30"/>
        <v>0</v>
      </c>
      <c r="BN19" s="5">
        <f t="shared" si="31"/>
        <v>0</v>
      </c>
      <c r="BO19" s="12">
        <f t="shared" si="32"/>
        <v>3572.96</v>
      </c>
      <c r="BP19" s="12">
        <f t="shared" si="33"/>
        <v>0</v>
      </c>
    </row>
    <row r="20" spans="1:68">
      <c r="A20" s="1" t="s">
        <v>45</v>
      </c>
      <c r="B20" s="1">
        <v>375</v>
      </c>
      <c r="C20" s="1" t="s">
        <v>44</v>
      </c>
      <c r="D20" s="1">
        <v>375</v>
      </c>
      <c r="E20" s="1" t="s">
        <v>469</v>
      </c>
      <c r="F20" s="5">
        <v>3539.97</v>
      </c>
      <c r="G20" s="5">
        <f t="shared" si="1"/>
        <v>3539.97</v>
      </c>
      <c r="I20" s="19">
        <f t="shared" si="2"/>
        <v>3539.97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>
        <v>1</v>
      </c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1">
        <f t="shared" si="3"/>
        <v>1</v>
      </c>
      <c r="AM20" s="5">
        <f t="shared" si="4"/>
        <v>0</v>
      </c>
      <c r="AN20" s="5">
        <f t="shared" si="5"/>
        <v>0</v>
      </c>
      <c r="AO20" s="5">
        <f t="shared" si="6"/>
        <v>0</v>
      </c>
      <c r="AP20" s="5">
        <f t="shared" si="7"/>
        <v>0</v>
      </c>
      <c r="AQ20" s="5">
        <f t="shared" si="8"/>
        <v>0</v>
      </c>
      <c r="AR20" s="5">
        <f t="shared" si="9"/>
        <v>0</v>
      </c>
      <c r="AS20" s="5">
        <f t="shared" si="10"/>
        <v>0</v>
      </c>
      <c r="AT20" s="5">
        <f t="shared" si="11"/>
        <v>0</v>
      </c>
      <c r="AU20" s="5">
        <f t="shared" si="12"/>
        <v>0</v>
      </c>
      <c r="AV20" s="5">
        <f t="shared" si="13"/>
        <v>0</v>
      </c>
      <c r="AW20" s="5">
        <f t="shared" si="14"/>
        <v>0</v>
      </c>
      <c r="AX20" s="5">
        <f t="shared" si="15"/>
        <v>0</v>
      </c>
      <c r="AY20" s="5">
        <f t="shared" si="16"/>
        <v>0</v>
      </c>
      <c r="AZ20" s="5">
        <f t="shared" si="17"/>
        <v>3539.97</v>
      </c>
      <c r="BA20" s="5">
        <f t="shared" si="18"/>
        <v>0</v>
      </c>
      <c r="BB20" s="5">
        <f t="shared" si="19"/>
        <v>0</v>
      </c>
      <c r="BC20" s="5">
        <f t="shared" si="20"/>
        <v>0</v>
      </c>
      <c r="BD20" s="5">
        <f t="shared" si="21"/>
        <v>0</v>
      </c>
      <c r="BE20" s="5">
        <f t="shared" si="22"/>
        <v>0</v>
      </c>
      <c r="BF20" s="5">
        <f t="shared" si="23"/>
        <v>0</v>
      </c>
      <c r="BG20" s="5">
        <f t="shared" si="24"/>
        <v>0</v>
      </c>
      <c r="BH20" s="5">
        <f t="shared" si="25"/>
        <v>0</v>
      </c>
      <c r="BI20" s="5">
        <f t="shared" si="26"/>
        <v>0</v>
      </c>
      <c r="BJ20" s="5">
        <f t="shared" si="27"/>
        <v>0</v>
      </c>
      <c r="BK20" s="5">
        <f t="shared" si="28"/>
        <v>0</v>
      </c>
      <c r="BL20" s="5">
        <f t="shared" si="29"/>
        <v>0</v>
      </c>
      <c r="BM20" s="5">
        <f t="shared" si="30"/>
        <v>0</v>
      </c>
      <c r="BN20" s="5">
        <f t="shared" si="31"/>
        <v>0</v>
      </c>
      <c r="BO20" s="12">
        <f t="shared" si="32"/>
        <v>3539.97</v>
      </c>
      <c r="BP20" s="12">
        <f t="shared" si="33"/>
        <v>0</v>
      </c>
    </row>
    <row r="21" spans="1:68">
      <c r="A21" s="1" t="s">
        <v>89</v>
      </c>
      <c r="B21" s="1">
        <v>375</v>
      </c>
      <c r="C21" s="1" t="s">
        <v>88</v>
      </c>
      <c r="D21" s="1">
        <v>375</v>
      </c>
      <c r="E21" s="1" t="s">
        <v>469</v>
      </c>
      <c r="F21" s="5">
        <v>3518.12</v>
      </c>
      <c r="G21" s="5">
        <f t="shared" si="1"/>
        <v>3518.12</v>
      </c>
      <c r="I21" s="19">
        <f t="shared" si="2"/>
        <v>3518.12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>
        <v>0.2</v>
      </c>
      <c r="AA21" s="18">
        <v>0.1</v>
      </c>
      <c r="AB21" s="18">
        <v>0.6</v>
      </c>
      <c r="AC21" s="18">
        <v>0.1</v>
      </c>
      <c r="AD21" s="18"/>
      <c r="AE21" s="18"/>
      <c r="AF21" s="18"/>
      <c r="AG21" s="18"/>
      <c r="AH21" s="18"/>
      <c r="AI21" s="18"/>
      <c r="AJ21" s="18"/>
      <c r="AK21" s="18"/>
      <c r="AL21" s="21">
        <f t="shared" si="3"/>
        <v>1</v>
      </c>
      <c r="AM21" s="5">
        <f t="shared" si="4"/>
        <v>0</v>
      </c>
      <c r="AN21" s="5">
        <f t="shared" si="5"/>
        <v>0</v>
      </c>
      <c r="AO21" s="5">
        <f t="shared" si="6"/>
        <v>0</v>
      </c>
      <c r="AP21" s="5">
        <f t="shared" si="7"/>
        <v>0</v>
      </c>
      <c r="AQ21" s="5">
        <f t="shared" si="8"/>
        <v>0</v>
      </c>
      <c r="AR21" s="5">
        <f t="shared" si="9"/>
        <v>0</v>
      </c>
      <c r="AS21" s="5">
        <f t="shared" si="10"/>
        <v>0</v>
      </c>
      <c r="AT21" s="5">
        <f t="shared" si="11"/>
        <v>0</v>
      </c>
      <c r="AU21" s="5">
        <f t="shared" si="12"/>
        <v>0</v>
      </c>
      <c r="AV21" s="5">
        <f t="shared" si="13"/>
        <v>0</v>
      </c>
      <c r="AW21" s="5">
        <f t="shared" si="14"/>
        <v>0</v>
      </c>
      <c r="AX21" s="5">
        <f t="shared" si="15"/>
        <v>0</v>
      </c>
      <c r="AY21" s="5">
        <f t="shared" si="16"/>
        <v>0</v>
      </c>
      <c r="AZ21" s="5">
        <f t="shared" si="17"/>
        <v>0</v>
      </c>
      <c r="BA21" s="5">
        <f t="shared" si="18"/>
        <v>0</v>
      </c>
      <c r="BB21" s="5">
        <f t="shared" si="19"/>
        <v>0</v>
      </c>
      <c r="BC21" s="5">
        <f t="shared" si="20"/>
        <v>703.62400000000002</v>
      </c>
      <c r="BD21" s="5">
        <f t="shared" si="21"/>
        <v>351.81200000000001</v>
      </c>
      <c r="BE21" s="5">
        <f t="shared" si="22"/>
        <v>2110.8719999999998</v>
      </c>
      <c r="BF21" s="5">
        <f t="shared" si="23"/>
        <v>351.81200000000001</v>
      </c>
      <c r="BG21" s="5">
        <f t="shared" si="24"/>
        <v>0</v>
      </c>
      <c r="BH21" s="5">
        <f t="shared" si="25"/>
        <v>0</v>
      </c>
      <c r="BI21" s="5">
        <f t="shared" si="26"/>
        <v>0</v>
      </c>
      <c r="BJ21" s="5">
        <f t="shared" si="27"/>
        <v>0</v>
      </c>
      <c r="BK21" s="5">
        <f t="shared" si="28"/>
        <v>0</v>
      </c>
      <c r="BL21" s="5">
        <f t="shared" si="29"/>
        <v>0</v>
      </c>
      <c r="BM21" s="5">
        <f t="shared" si="30"/>
        <v>0</v>
      </c>
      <c r="BN21" s="5">
        <f t="shared" si="31"/>
        <v>0</v>
      </c>
      <c r="BO21" s="12">
        <f t="shared" si="32"/>
        <v>3518.12</v>
      </c>
      <c r="BP21" s="12">
        <f t="shared" si="33"/>
        <v>0</v>
      </c>
    </row>
    <row r="22" spans="1:68">
      <c r="A22" s="1" t="s">
        <v>9</v>
      </c>
      <c r="B22" s="1">
        <v>375</v>
      </c>
      <c r="C22" s="1" t="s">
        <v>8</v>
      </c>
      <c r="D22" s="1">
        <v>375</v>
      </c>
      <c r="E22" s="1" t="s">
        <v>469</v>
      </c>
      <c r="F22" s="5">
        <v>3463.56</v>
      </c>
      <c r="G22" s="5">
        <f t="shared" si="1"/>
        <v>3463.56</v>
      </c>
      <c r="I22" s="19">
        <f t="shared" si="2"/>
        <v>3463.56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>
        <v>1</v>
      </c>
      <c r="AE22" s="18"/>
      <c r="AF22" s="18"/>
      <c r="AG22" s="18"/>
      <c r="AH22" s="18"/>
      <c r="AI22" s="18"/>
      <c r="AJ22" s="18"/>
      <c r="AK22" s="18"/>
      <c r="AL22" s="21">
        <f t="shared" si="3"/>
        <v>1</v>
      </c>
      <c r="AM22" s="5">
        <f t="shared" si="4"/>
        <v>0</v>
      </c>
      <c r="AN22" s="5">
        <f t="shared" si="5"/>
        <v>0</v>
      </c>
      <c r="AO22" s="5">
        <f t="shared" si="6"/>
        <v>0</v>
      </c>
      <c r="AP22" s="5">
        <f t="shared" si="7"/>
        <v>0</v>
      </c>
      <c r="AQ22" s="5">
        <f t="shared" si="8"/>
        <v>0</v>
      </c>
      <c r="AR22" s="5">
        <f t="shared" si="9"/>
        <v>0</v>
      </c>
      <c r="AS22" s="5">
        <f t="shared" si="10"/>
        <v>0</v>
      </c>
      <c r="AT22" s="5">
        <f t="shared" si="11"/>
        <v>0</v>
      </c>
      <c r="AU22" s="5">
        <f t="shared" si="12"/>
        <v>0</v>
      </c>
      <c r="AV22" s="5">
        <f t="shared" si="13"/>
        <v>0</v>
      </c>
      <c r="AW22" s="5">
        <f t="shared" si="14"/>
        <v>0</v>
      </c>
      <c r="AX22" s="5">
        <f t="shared" si="15"/>
        <v>0</v>
      </c>
      <c r="AY22" s="5">
        <f t="shared" si="16"/>
        <v>0</v>
      </c>
      <c r="AZ22" s="5">
        <f t="shared" si="17"/>
        <v>0</v>
      </c>
      <c r="BA22" s="5">
        <f t="shared" si="18"/>
        <v>0</v>
      </c>
      <c r="BB22" s="5">
        <f t="shared" si="19"/>
        <v>0</v>
      </c>
      <c r="BC22" s="5">
        <f t="shared" si="20"/>
        <v>0</v>
      </c>
      <c r="BD22" s="5">
        <f t="shared" si="21"/>
        <v>0</v>
      </c>
      <c r="BE22" s="5">
        <f t="shared" si="22"/>
        <v>0</v>
      </c>
      <c r="BF22" s="5">
        <f t="shared" si="23"/>
        <v>0</v>
      </c>
      <c r="BG22" s="5">
        <f t="shared" si="24"/>
        <v>3463.56</v>
      </c>
      <c r="BH22" s="5">
        <f t="shared" si="25"/>
        <v>0</v>
      </c>
      <c r="BI22" s="5">
        <f t="shared" si="26"/>
        <v>0</v>
      </c>
      <c r="BJ22" s="5">
        <f t="shared" si="27"/>
        <v>0</v>
      </c>
      <c r="BK22" s="5">
        <f t="shared" si="28"/>
        <v>0</v>
      </c>
      <c r="BL22" s="5">
        <f t="shared" si="29"/>
        <v>0</v>
      </c>
      <c r="BM22" s="5">
        <f t="shared" si="30"/>
        <v>0</v>
      </c>
      <c r="BN22" s="5">
        <f t="shared" si="31"/>
        <v>0</v>
      </c>
      <c r="BO22" s="12">
        <f t="shared" si="32"/>
        <v>3463.56</v>
      </c>
      <c r="BP22" s="12">
        <f t="shared" si="33"/>
        <v>0</v>
      </c>
    </row>
    <row r="23" spans="1:68">
      <c r="A23" s="1" t="s">
        <v>35</v>
      </c>
      <c r="B23" s="1">
        <v>375</v>
      </c>
      <c r="C23" s="1" t="s">
        <v>34</v>
      </c>
      <c r="D23" s="1">
        <v>375</v>
      </c>
      <c r="E23" s="1" t="s">
        <v>469</v>
      </c>
      <c r="F23" s="5">
        <v>3434.61</v>
      </c>
      <c r="G23" s="5">
        <f t="shared" si="1"/>
        <v>3434.61</v>
      </c>
      <c r="I23" s="19">
        <f t="shared" si="2"/>
        <v>3434.61</v>
      </c>
      <c r="J23" s="18"/>
      <c r="K23" s="18"/>
      <c r="L23" s="18">
        <v>1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1">
        <f t="shared" si="3"/>
        <v>1</v>
      </c>
      <c r="AM23" s="5">
        <f t="shared" si="4"/>
        <v>0</v>
      </c>
      <c r="AN23" s="5">
        <f t="shared" si="5"/>
        <v>0</v>
      </c>
      <c r="AO23" s="5">
        <f t="shared" si="6"/>
        <v>3434.61</v>
      </c>
      <c r="AP23" s="5">
        <f t="shared" si="7"/>
        <v>0</v>
      </c>
      <c r="AQ23" s="5">
        <f t="shared" si="8"/>
        <v>0</v>
      </c>
      <c r="AR23" s="5">
        <f t="shared" si="9"/>
        <v>0</v>
      </c>
      <c r="AS23" s="5">
        <f t="shared" si="10"/>
        <v>0</v>
      </c>
      <c r="AT23" s="5">
        <f t="shared" si="11"/>
        <v>0</v>
      </c>
      <c r="AU23" s="5">
        <f t="shared" si="12"/>
        <v>0</v>
      </c>
      <c r="AV23" s="5">
        <f t="shared" si="13"/>
        <v>0</v>
      </c>
      <c r="AW23" s="5">
        <f t="shared" si="14"/>
        <v>0</v>
      </c>
      <c r="AX23" s="5">
        <f t="shared" si="15"/>
        <v>0</v>
      </c>
      <c r="AY23" s="5">
        <f t="shared" si="16"/>
        <v>0</v>
      </c>
      <c r="AZ23" s="5">
        <f t="shared" si="17"/>
        <v>0</v>
      </c>
      <c r="BA23" s="5">
        <f t="shared" si="18"/>
        <v>0</v>
      </c>
      <c r="BB23" s="5">
        <f t="shared" si="19"/>
        <v>0</v>
      </c>
      <c r="BC23" s="5">
        <f t="shared" si="20"/>
        <v>0</v>
      </c>
      <c r="BD23" s="5">
        <f t="shared" si="21"/>
        <v>0</v>
      </c>
      <c r="BE23" s="5">
        <f t="shared" si="22"/>
        <v>0</v>
      </c>
      <c r="BF23" s="5">
        <f t="shared" si="23"/>
        <v>0</v>
      </c>
      <c r="BG23" s="5">
        <f t="shared" si="24"/>
        <v>0</v>
      </c>
      <c r="BH23" s="5">
        <f t="shared" si="25"/>
        <v>0</v>
      </c>
      <c r="BI23" s="5">
        <f t="shared" si="26"/>
        <v>0</v>
      </c>
      <c r="BJ23" s="5">
        <f t="shared" si="27"/>
        <v>0</v>
      </c>
      <c r="BK23" s="5">
        <f t="shared" si="28"/>
        <v>0</v>
      </c>
      <c r="BL23" s="5">
        <f t="shared" si="29"/>
        <v>0</v>
      </c>
      <c r="BM23" s="5">
        <f t="shared" si="30"/>
        <v>0</v>
      </c>
      <c r="BN23" s="5">
        <f t="shared" si="31"/>
        <v>0</v>
      </c>
      <c r="BO23" s="12">
        <f t="shared" si="32"/>
        <v>3434.61</v>
      </c>
      <c r="BP23" s="12">
        <f t="shared" si="33"/>
        <v>0</v>
      </c>
    </row>
    <row r="24" spans="1:68">
      <c r="A24" s="1" t="s">
        <v>95</v>
      </c>
      <c r="B24" s="15">
        <v>375</v>
      </c>
      <c r="C24" s="1" t="s">
        <v>94</v>
      </c>
      <c r="D24" s="1">
        <v>375</v>
      </c>
      <c r="E24" s="1" t="s">
        <v>469</v>
      </c>
      <c r="F24" s="5">
        <v>3404.79</v>
      </c>
      <c r="G24" s="5">
        <f t="shared" si="1"/>
        <v>3404.79</v>
      </c>
      <c r="I24" s="19">
        <f t="shared" si="2"/>
        <v>3404.79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>
        <v>1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1">
        <f t="shared" si="3"/>
        <v>1</v>
      </c>
      <c r="AM24" s="5">
        <f t="shared" si="4"/>
        <v>0</v>
      </c>
      <c r="AN24" s="5">
        <f t="shared" si="5"/>
        <v>0</v>
      </c>
      <c r="AO24" s="5">
        <f t="shared" si="6"/>
        <v>0</v>
      </c>
      <c r="AP24" s="5">
        <f t="shared" si="7"/>
        <v>0</v>
      </c>
      <c r="AQ24" s="5">
        <f t="shared" si="8"/>
        <v>0</v>
      </c>
      <c r="AR24" s="5">
        <f t="shared" si="9"/>
        <v>0</v>
      </c>
      <c r="AS24" s="5">
        <f t="shared" si="10"/>
        <v>0</v>
      </c>
      <c r="AT24" s="5">
        <f t="shared" si="11"/>
        <v>0</v>
      </c>
      <c r="AU24" s="5">
        <f t="shared" si="12"/>
        <v>0</v>
      </c>
      <c r="AV24" s="5">
        <f t="shared" si="13"/>
        <v>0</v>
      </c>
      <c r="AW24" s="5">
        <f t="shared" si="14"/>
        <v>0</v>
      </c>
      <c r="AX24" s="5">
        <f t="shared" si="15"/>
        <v>0</v>
      </c>
      <c r="AY24" s="5">
        <f t="shared" si="16"/>
        <v>0</v>
      </c>
      <c r="AZ24" s="5">
        <f t="shared" si="17"/>
        <v>3404.79</v>
      </c>
      <c r="BA24" s="5">
        <f t="shared" si="18"/>
        <v>0</v>
      </c>
      <c r="BB24" s="5">
        <f t="shared" si="19"/>
        <v>0</v>
      </c>
      <c r="BC24" s="5">
        <f t="shared" si="20"/>
        <v>0</v>
      </c>
      <c r="BD24" s="5">
        <f t="shared" si="21"/>
        <v>0</v>
      </c>
      <c r="BE24" s="5">
        <f t="shared" si="22"/>
        <v>0</v>
      </c>
      <c r="BF24" s="5">
        <f t="shared" si="23"/>
        <v>0</v>
      </c>
      <c r="BG24" s="5">
        <f t="shared" si="24"/>
        <v>0</v>
      </c>
      <c r="BH24" s="5">
        <f t="shared" si="25"/>
        <v>0</v>
      </c>
      <c r="BI24" s="5">
        <f t="shared" si="26"/>
        <v>0</v>
      </c>
      <c r="BJ24" s="5">
        <f t="shared" si="27"/>
        <v>0</v>
      </c>
      <c r="BK24" s="5">
        <f t="shared" si="28"/>
        <v>0</v>
      </c>
      <c r="BL24" s="5">
        <f t="shared" si="29"/>
        <v>0</v>
      </c>
      <c r="BM24" s="5">
        <f t="shared" si="30"/>
        <v>0</v>
      </c>
      <c r="BN24" s="5">
        <f t="shared" si="31"/>
        <v>0</v>
      </c>
      <c r="BO24" s="12">
        <f t="shared" si="32"/>
        <v>3404.79</v>
      </c>
      <c r="BP24" s="12">
        <f t="shared" si="33"/>
        <v>0</v>
      </c>
    </row>
    <row r="25" spans="1:68">
      <c r="A25" s="1" t="s">
        <v>63</v>
      </c>
      <c r="B25" s="1">
        <v>375</v>
      </c>
      <c r="C25" s="1" t="s">
        <v>62</v>
      </c>
      <c r="D25" s="1">
        <v>375</v>
      </c>
      <c r="E25" s="1" t="s">
        <v>469</v>
      </c>
      <c r="F25" s="5">
        <v>3388.89</v>
      </c>
      <c r="G25" s="5">
        <f t="shared" si="1"/>
        <v>3388.89</v>
      </c>
      <c r="I25" s="19">
        <f t="shared" si="2"/>
        <v>3388.89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>
        <v>0.1</v>
      </c>
      <c r="AB25" s="18"/>
      <c r="AC25" s="18">
        <v>0.1</v>
      </c>
      <c r="AD25" s="18"/>
      <c r="AE25" s="18"/>
      <c r="AF25" s="18"/>
      <c r="AG25" s="18"/>
      <c r="AH25" s="18"/>
      <c r="AI25" s="18"/>
      <c r="AJ25" s="18">
        <v>0.8</v>
      </c>
      <c r="AK25" s="18"/>
      <c r="AL25" s="21">
        <f t="shared" si="3"/>
        <v>1</v>
      </c>
      <c r="AM25" s="5">
        <f t="shared" si="4"/>
        <v>0</v>
      </c>
      <c r="AN25" s="5">
        <f t="shared" si="5"/>
        <v>0</v>
      </c>
      <c r="AO25" s="5">
        <f t="shared" si="6"/>
        <v>0</v>
      </c>
      <c r="AP25" s="5">
        <f t="shared" si="7"/>
        <v>0</v>
      </c>
      <c r="AQ25" s="5">
        <f t="shared" si="8"/>
        <v>0</v>
      </c>
      <c r="AR25" s="5">
        <f t="shared" si="9"/>
        <v>0</v>
      </c>
      <c r="AS25" s="5">
        <f t="shared" si="10"/>
        <v>0</v>
      </c>
      <c r="AT25" s="5">
        <f t="shared" si="11"/>
        <v>0</v>
      </c>
      <c r="AU25" s="5">
        <f t="shared" si="12"/>
        <v>0</v>
      </c>
      <c r="AV25" s="5">
        <f t="shared" si="13"/>
        <v>0</v>
      </c>
      <c r="AW25" s="5">
        <f t="shared" si="14"/>
        <v>0</v>
      </c>
      <c r="AX25" s="5">
        <f t="shared" si="15"/>
        <v>0</v>
      </c>
      <c r="AY25" s="5">
        <f t="shared" si="16"/>
        <v>0</v>
      </c>
      <c r="AZ25" s="5">
        <f t="shared" si="17"/>
        <v>0</v>
      </c>
      <c r="BA25" s="5">
        <f t="shared" si="18"/>
        <v>0</v>
      </c>
      <c r="BB25" s="5">
        <f t="shared" si="19"/>
        <v>0</v>
      </c>
      <c r="BC25" s="5">
        <f t="shared" si="20"/>
        <v>0</v>
      </c>
      <c r="BD25" s="5">
        <f t="shared" si="21"/>
        <v>338.88900000000001</v>
      </c>
      <c r="BE25" s="5">
        <f t="shared" si="22"/>
        <v>0</v>
      </c>
      <c r="BF25" s="5">
        <f t="shared" si="23"/>
        <v>338.88900000000001</v>
      </c>
      <c r="BG25" s="5">
        <f t="shared" si="24"/>
        <v>0</v>
      </c>
      <c r="BH25" s="5">
        <f t="shared" si="25"/>
        <v>0</v>
      </c>
      <c r="BI25" s="5">
        <f t="shared" si="26"/>
        <v>0</v>
      </c>
      <c r="BJ25" s="5">
        <f t="shared" si="27"/>
        <v>0</v>
      </c>
      <c r="BK25" s="5">
        <f t="shared" si="28"/>
        <v>0</v>
      </c>
      <c r="BL25" s="5">
        <f t="shared" si="29"/>
        <v>0</v>
      </c>
      <c r="BM25" s="5">
        <f t="shared" si="30"/>
        <v>2711.1120000000001</v>
      </c>
      <c r="BN25" s="5">
        <f t="shared" si="31"/>
        <v>0</v>
      </c>
      <c r="BO25" s="12">
        <f t="shared" si="32"/>
        <v>3388.8900000000003</v>
      </c>
      <c r="BP25" s="12">
        <f t="shared" si="33"/>
        <v>0</v>
      </c>
    </row>
    <row r="26" spans="1:68">
      <c r="A26" s="1" t="s">
        <v>77</v>
      </c>
      <c r="B26" s="1">
        <v>375</v>
      </c>
      <c r="C26" s="1" t="s">
        <v>76</v>
      </c>
      <c r="D26" s="1">
        <v>375</v>
      </c>
      <c r="E26" s="1" t="s">
        <v>469</v>
      </c>
      <c r="F26" s="5">
        <v>3374.75</v>
      </c>
      <c r="G26" s="5">
        <f t="shared" si="1"/>
        <v>3374.75</v>
      </c>
      <c r="I26" s="19">
        <f t="shared" si="2"/>
        <v>3374.75</v>
      </c>
      <c r="J26" s="18"/>
      <c r="K26" s="18">
        <v>1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1">
        <f t="shared" si="3"/>
        <v>1</v>
      </c>
      <c r="AM26" s="5">
        <f t="shared" si="4"/>
        <v>0</v>
      </c>
      <c r="AN26" s="5">
        <f t="shared" si="5"/>
        <v>3374.75</v>
      </c>
      <c r="AO26" s="5">
        <f t="shared" si="6"/>
        <v>0</v>
      </c>
      <c r="AP26" s="5">
        <f t="shared" si="7"/>
        <v>0</v>
      </c>
      <c r="AQ26" s="5">
        <f t="shared" si="8"/>
        <v>0</v>
      </c>
      <c r="AR26" s="5">
        <f t="shared" si="9"/>
        <v>0</v>
      </c>
      <c r="AS26" s="5">
        <f t="shared" si="10"/>
        <v>0</v>
      </c>
      <c r="AT26" s="5">
        <f t="shared" si="11"/>
        <v>0</v>
      </c>
      <c r="AU26" s="5">
        <f t="shared" si="12"/>
        <v>0</v>
      </c>
      <c r="AV26" s="5">
        <f t="shared" si="13"/>
        <v>0</v>
      </c>
      <c r="AW26" s="5">
        <f t="shared" si="14"/>
        <v>0</v>
      </c>
      <c r="AX26" s="5">
        <f t="shared" si="15"/>
        <v>0</v>
      </c>
      <c r="AY26" s="5">
        <f t="shared" si="16"/>
        <v>0</v>
      </c>
      <c r="AZ26" s="5">
        <f t="shared" si="17"/>
        <v>0</v>
      </c>
      <c r="BA26" s="5">
        <f t="shared" si="18"/>
        <v>0</v>
      </c>
      <c r="BB26" s="5">
        <f t="shared" si="19"/>
        <v>0</v>
      </c>
      <c r="BC26" s="5">
        <f t="shared" si="20"/>
        <v>0</v>
      </c>
      <c r="BD26" s="5">
        <f t="shared" si="21"/>
        <v>0</v>
      </c>
      <c r="BE26" s="5">
        <f t="shared" si="22"/>
        <v>0</v>
      </c>
      <c r="BF26" s="5">
        <f t="shared" si="23"/>
        <v>0</v>
      </c>
      <c r="BG26" s="5">
        <f t="shared" si="24"/>
        <v>0</v>
      </c>
      <c r="BH26" s="5">
        <f t="shared" si="25"/>
        <v>0</v>
      </c>
      <c r="BI26" s="5">
        <f t="shared" si="26"/>
        <v>0</v>
      </c>
      <c r="BJ26" s="5">
        <f t="shared" si="27"/>
        <v>0</v>
      </c>
      <c r="BK26" s="5">
        <f t="shared" si="28"/>
        <v>0</v>
      </c>
      <c r="BL26" s="5">
        <f t="shared" si="29"/>
        <v>0</v>
      </c>
      <c r="BM26" s="5">
        <f t="shared" si="30"/>
        <v>0</v>
      </c>
      <c r="BN26" s="5">
        <f t="shared" si="31"/>
        <v>0</v>
      </c>
      <c r="BO26" s="12">
        <f t="shared" si="32"/>
        <v>3374.75</v>
      </c>
      <c r="BP26" s="12">
        <f t="shared" si="33"/>
        <v>0</v>
      </c>
    </row>
    <row r="27" spans="1:68" s="4" customFormat="1">
      <c r="A27" s="1" t="s">
        <v>13</v>
      </c>
      <c r="B27" s="1">
        <v>375</v>
      </c>
      <c r="C27" s="1" t="s">
        <v>12</v>
      </c>
      <c r="D27" s="1">
        <v>375</v>
      </c>
      <c r="E27" s="1" t="s">
        <v>469</v>
      </c>
      <c r="F27" s="5">
        <v>3322.8</v>
      </c>
      <c r="G27" s="5">
        <f t="shared" si="1"/>
        <v>3322.8</v>
      </c>
      <c r="H27" s="5"/>
      <c r="I27" s="19">
        <f t="shared" si="2"/>
        <v>3322.8</v>
      </c>
      <c r="J27" s="18"/>
      <c r="K27" s="18">
        <v>1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1">
        <f t="shared" si="3"/>
        <v>1</v>
      </c>
      <c r="AM27" s="5">
        <f t="shared" si="4"/>
        <v>0</v>
      </c>
      <c r="AN27" s="5">
        <f t="shared" si="5"/>
        <v>3322.8</v>
      </c>
      <c r="AO27" s="5">
        <f t="shared" si="6"/>
        <v>0</v>
      </c>
      <c r="AP27" s="5">
        <f t="shared" si="7"/>
        <v>0</v>
      </c>
      <c r="AQ27" s="5">
        <f t="shared" si="8"/>
        <v>0</v>
      </c>
      <c r="AR27" s="5">
        <f t="shared" si="9"/>
        <v>0</v>
      </c>
      <c r="AS27" s="5">
        <f t="shared" si="10"/>
        <v>0</v>
      </c>
      <c r="AT27" s="5">
        <f t="shared" si="11"/>
        <v>0</v>
      </c>
      <c r="AU27" s="5">
        <f t="shared" si="12"/>
        <v>0</v>
      </c>
      <c r="AV27" s="5">
        <f t="shared" si="13"/>
        <v>0</v>
      </c>
      <c r="AW27" s="5">
        <f t="shared" si="14"/>
        <v>0</v>
      </c>
      <c r="AX27" s="5">
        <f t="shared" si="15"/>
        <v>0</v>
      </c>
      <c r="AY27" s="5">
        <f t="shared" si="16"/>
        <v>0</v>
      </c>
      <c r="AZ27" s="5">
        <f t="shared" si="17"/>
        <v>0</v>
      </c>
      <c r="BA27" s="5">
        <f t="shared" si="18"/>
        <v>0</v>
      </c>
      <c r="BB27" s="5">
        <f t="shared" si="19"/>
        <v>0</v>
      </c>
      <c r="BC27" s="5">
        <f t="shared" si="20"/>
        <v>0</v>
      </c>
      <c r="BD27" s="5">
        <f t="shared" si="21"/>
        <v>0</v>
      </c>
      <c r="BE27" s="5">
        <f t="shared" si="22"/>
        <v>0</v>
      </c>
      <c r="BF27" s="5">
        <f t="shared" si="23"/>
        <v>0</v>
      </c>
      <c r="BG27" s="5">
        <f t="shared" si="24"/>
        <v>0</v>
      </c>
      <c r="BH27" s="5">
        <f t="shared" si="25"/>
        <v>0</v>
      </c>
      <c r="BI27" s="5">
        <f t="shared" si="26"/>
        <v>0</v>
      </c>
      <c r="BJ27" s="5">
        <f t="shared" si="27"/>
        <v>0</v>
      </c>
      <c r="BK27" s="5">
        <f t="shared" si="28"/>
        <v>0</v>
      </c>
      <c r="BL27" s="5">
        <f t="shared" si="29"/>
        <v>0</v>
      </c>
      <c r="BM27" s="5">
        <f t="shared" si="30"/>
        <v>0</v>
      </c>
      <c r="BN27" s="5">
        <f t="shared" si="31"/>
        <v>0</v>
      </c>
      <c r="BO27" s="12">
        <f t="shared" si="32"/>
        <v>3322.8</v>
      </c>
      <c r="BP27" s="12">
        <f t="shared" si="33"/>
        <v>0</v>
      </c>
    </row>
    <row r="28" spans="1:68">
      <c r="A28" s="15" t="s">
        <v>99</v>
      </c>
      <c r="B28" s="15">
        <v>375</v>
      </c>
      <c r="C28" s="15" t="s">
        <v>98</v>
      </c>
      <c r="D28" s="15">
        <v>375</v>
      </c>
      <c r="E28" s="15" t="s">
        <v>469</v>
      </c>
      <c r="F28" s="5">
        <v>3303.58</v>
      </c>
      <c r="G28" s="5">
        <f t="shared" si="1"/>
        <v>3303.58</v>
      </c>
      <c r="I28" s="19">
        <f t="shared" si="2"/>
        <v>3303.58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>
        <v>0.5</v>
      </c>
      <c r="AE28" s="18"/>
      <c r="AF28" s="18"/>
      <c r="AG28" s="18"/>
      <c r="AH28" s="18"/>
      <c r="AI28" s="18">
        <v>0.5</v>
      </c>
      <c r="AJ28" s="18"/>
      <c r="AK28" s="18"/>
      <c r="AL28" s="21">
        <f t="shared" si="3"/>
        <v>1</v>
      </c>
      <c r="AM28" s="5">
        <f t="shared" si="4"/>
        <v>0</v>
      </c>
      <c r="AN28" s="5">
        <f t="shared" si="5"/>
        <v>0</v>
      </c>
      <c r="AO28" s="5">
        <f t="shared" si="6"/>
        <v>0</v>
      </c>
      <c r="AP28" s="5">
        <f t="shared" si="7"/>
        <v>0</v>
      </c>
      <c r="AQ28" s="5">
        <f t="shared" si="8"/>
        <v>0</v>
      </c>
      <c r="AR28" s="5">
        <f t="shared" si="9"/>
        <v>0</v>
      </c>
      <c r="AS28" s="5">
        <f t="shared" si="10"/>
        <v>0</v>
      </c>
      <c r="AT28" s="5">
        <f t="shared" si="11"/>
        <v>0</v>
      </c>
      <c r="AU28" s="5">
        <f t="shared" si="12"/>
        <v>0</v>
      </c>
      <c r="AV28" s="5">
        <f t="shared" si="13"/>
        <v>0</v>
      </c>
      <c r="AW28" s="5">
        <f t="shared" si="14"/>
        <v>0</v>
      </c>
      <c r="AX28" s="5">
        <f t="shared" si="15"/>
        <v>0</v>
      </c>
      <c r="AY28" s="5">
        <f t="shared" si="16"/>
        <v>0</v>
      </c>
      <c r="AZ28" s="5">
        <f t="shared" si="17"/>
        <v>0</v>
      </c>
      <c r="BA28" s="5">
        <f t="shared" si="18"/>
        <v>0</v>
      </c>
      <c r="BB28" s="5">
        <f t="shared" si="19"/>
        <v>0</v>
      </c>
      <c r="BC28" s="5">
        <f t="shared" si="20"/>
        <v>0</v>
      </c>
      <c r="BD28" s="5">
        <f t="shared" si="21"/>
        <v>0</v>
      </c>
      <c r="BE28" s="5">
        <f t="shared" si="22"/>
        <v>0</v>
      </c>
      <c r="BF28" s="5">
        <f t="shared" si="23"/>
        <v>0</v>
      </c>
      <c r="BG28" s="5">
        <f t="shared" si="24"/>
        <v>1651.79</v>
      </c>
      <c r="BH28" s="5">
        <f t="shared" si="25"/>
        <v>0</v>
      </c>
      <c r="BI28" s="5">
        <f t="shared" si="26"/>
        <v>0</v>
      </c>
      <c r="BJ28" s="5">
        <f t="shared" si="27"/>
        <v>0</v>
      </c>
      <c r="BK28" s="5">
        <f t="shared" si="28"/>
        <v>0</v>
      </c>
      <c r="BL28" s="5">
        <f t="shared" si="29"/>
        <v>1651.79</v>
      </c>
      <c r="BM28" s="5">
        <f t="shared" si="30"/>
        <v>0</v>
      </c>
      <c r="BN28" s="5">
        <f t="shared" si="31"/>
        <v>0</v>
      </c>
      <c r="BO28" s="12">
        <f t="shared" si="32"/>
        <v>3303.58</v>
      </c>
      <c r="BP28" s="12">
        <f t="shared" si="33"/>
        <v>0</v>
      </c>
    </row>
    <row r="29" spans="1:68">
      <c r="A29" s="1" t="s">
        <v>59</v>
      </c>
      <c r="B29" s="1">
        <v>375</v>
      </c>
      <c r="C29" s="1" t="s">
        <v>58</v>
      </c>
      <c r="D29" s="1">
        <v>375</v>
      </c>
      <c r="E29" s="1" t="s">
        <v>469</v>
      </c>
      <c r="F29" s="5">
        <v>3288.35</v>
      </c>
      <c r="G29" s="5">
        <f t="shared" si="1"/>
        <v>3288.35</v>
      </c>
      <c r="I29" s="19">
        <f t="shared" si="2"/>
        <v>3288.35</v>
      </c>
      <c r="J29" s="18"/>
      <c r="K29" s="18"/>
      <c r="L29" s="18">
        <v>1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1">
        <f t="shared" si="3"/>
        <v>1</v>
      </c>
      <c r="AM29" s="5">
        <f t="shared" si="4"/>
        <v>0</v>
      </c>
      <c r="AN29" s="5">
        <f t="shared" si="5"/>
        <v>0</v>
      </c>
      <c r="AO29" s="5">
        <f t="shared" si="6"/>
        <v>3288.35</v>
      </c>
      <c r="AP29" s="5">
        <f t="shared" si="7"/>
        <v>0</v>
      </c>
      <c r="AQ29" s="5">
        <f t="shared" si="8"/>
        <v>0</v>
      </c>
      <c r="AR29" s="5">
        <f t="shared" si="9"/>
        <v>0</v>
      </c>
      <c r="AS29" s="5">
        <f t="shared" si="10"/>
        <v>0</v>
      </c>
      <c r="AT29" s="5">
        <f t="shared" si="11"/>
        <v>0</v>
      </c>
      <c r="AU29" s="5">
        <f t="shared" si="12"/>
        <v>0</v>
      </c>
      <c r="AV29" s="5">
        <f t="shared" si="13"/>
        <v>0</v>
      </c>
      <c r="AW29" s="5">
        <f t="shared" si="14"/>
        <v>0</v>
      </c>
      <c r="AX29" s="5">
        <f t="shared" si="15"/>
        <v>0</v>
      </c>
      <c r="AY29" s="5">
        <f t="shared" si="16"/>
        <v>0</v>
      </c>
      <c r="AZ29" s="5">
        <f t="shared" si="17"/>
        <v>0</v>
      </c>
      <c r="BA29" s="5">
        <f t="shared" si="18"/>
        <v>0</v>
      </c>
      <c r="BB29" s="5">
        <f t="shared" si="19"/>
        <v>0</v>
      </c>
      <c r="BC29" s="5">
        <f t="shared" si="20"/>
        <v>0</v>
      </c>
      <c r="BD29" s="5">
        <f t="shared" si="21"/>
        <v>0</v>
      </c>
      <c r="BE29" s="5">
        <f t="shared" si="22"/>
        <v>0</v>
      </c>
      <c r="BF29" s="5">
        <f t="shared" si="23"/>
        <v>0</v>
      </c>
      <c r="BG29" s="5">
        <f t="shared" si="24"/>
        <v>0</v>
      </c>
      <c r="BH29" s="5">
        <f t="shared" si="25"/>
        <v>0</v>
      </c>
      <c r="BI29" s="5">
        <f t="shared" si="26"/>
        <v>0</v>
      </c>
      <c r="BJ29" s="5">
        <f t="shared" si="27"/>
        <v>0</v>
      </c>
      <c r="BK29" s="5">
        <f t="shared" si="28"/>
        <v>0</v>
      </c>
      <c r="BL29" s="5">
        <f t="shared" si="29"/>
        <v>0</v>
      </c>
      <c r="BM29" s="5">
        <f t="shared" si="30"/>
        <v>0</v>
      </c>
      <c r="BN29" s="5">
        <f t="shared" si="31"/>
        <v>0</v>
      </c>
      <c r="BO29" s="12">
        <f t="shared" si="32"/>
        <v>3288.35</v>
      </c>
      <c r="BP29" s="12">
        <f t="shared" si="33"/>
        <v>0</v>
      </c>
    </row>
    <row r="30" spans="1:68">
      <c r="A30" s="1" t="s">
        <v>25</v>
      </c>
      <c r="B30" s="1">
        <v>375</v>
      </c>
      <c r="C30" s="1" t="s">
        <v>24</v>
      </c>
      <c r="D30" s="1">
        <v>375</v>
      </c>
      <c r="E30" s="1" t="s">
        <v>469</v>
      </c>
      <c r="F30" s="5">
        <v>3250.63</v>
      </c>
      <c r="G30" s="5">
        <f t="shared" si="1"/>
        <v>3250.63</v>
      </c>
      <c r="I30" s="19">
        <f t="shared" si="2"/>
        <v>3250.63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>
        <v>1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1">
        <f t="shared" si="3"/>
        <v>1</v>
      </c>
      <c r="AM30" s="5">
        <f t="shared" si="4"/>
        <v>0</v>
      </c>
      <c r="AN30" s="5">
        <f t="shared" si="5"/>
        <v>0</v>
      </c>
      <c r="AO30" s="5">
        <f t="shared" si="6"/>
        <v>0</v>
      </c>
      <c r="AP30" s="5">
        <f t="shared" si="7"/>
        <v>0</v>
      </c>
      <c r="AQ30" s="5">
        <f t="shared" si="8"/>
        <v>0</v>
      </c>
      <c r="AR30" s="5">
        <f t="shared" si="9"/>
        <v>0</v>
      </c>
      <c r="AS30" s="5">
        <f t="shared" si="10"/>
        <v>0</v>
      </c>
      <c r="AT30" s="5">
        <f t="shared" si="11"/>
        <v>0</v>
      </c>
      <c r="AU30" s="5">
        <f t="shared" si="12"/>
        <v>0</v>
      </c>
      <c r="AV30" s="5">
        <f t="shared" si="13"/>
        <v>0</v>
      </c>
      <c r="AW30" s="5">
        <f t="shared" si="14"/>
        <v>0</v>
      </c>
      <c r="AX30" s="5">
        <f t="shared" si="15"/>
        <v>0</v>
      </c>
      <c r="AY30" s="5">
        <f t="shared" si="16"/>
        <v>0</v>
      </c>
      <c r="AZ30" s="5">
        <f t="shared" si="17"/>
        <v>3250.63</v>
      </c>
      <c r="BA30" s="5">
        <f t="shared" si="18"/>
        <v>0</v>
      </c>
      <c r="BB30" s="5">
        <f t="shared" si="19"/>
        <v>0</v>
      </c>
      <c r="BC30" s="5">
        <f t="shared" si="20"/>
        <v>0</v>
      </c>
      <c r="BD30" s="5">
        <f t="shared" si="21"/>
        <v>0</v>
      </c>
      <c r="BE30" s="5">
        <f t="shared" si="22"/>
        <v>0</v>
      </c>
      <c r="BF30" s="5">
        <f t="shared" si="23"/>
        <v>0</v>
      </c>
      <c r="BG30" s="5">
        <f t="shared" si="24"/>
        <v>0</v>
      </c>
      <c r="BH30" s="5">
        <f t="shared" si="25"/>
        <v>0</v>
      </c>
      <c r="BI30" s="5">
        <f t="shared" si="26"/>
        <v>0</v>
      </c>
      <c r="BJ30" s="5">
        <f t="shared" si="27"/>
        <v>0</v>
      </c>
      <c r="BK30" s="5">
        <f t="shared" si="28"/>
        <v>0</v>
      </c>
      <c r="BL30" s="5">
        <f t="shared" si="29"/>
        <v>0</v>
      </c>
      <c r="BM30" s="5">
        <f t="shared" si="30"/>
        <v>0</v>
      </c>
      <c r="BN30" s="5">
        <f t="shared" si="31"/>
        <v>0</v>
      </c>
      <c r="BO30" s="12">
        <f t="shared" si="32"/>
        <v>3250.63</v>
      </c>
      <c r="BP30" s="12">
        <f t="shared" si="33"/>
        <v>0</v>
      </c>
    </row>
    <row r="31" spans="1:68">
      <c r="A31" s="1" t="s">
        <v>23</v>
      </c>
      <c r="B31" s="1">
        <v>375</v>
      </c>
      <c r="C31" s="1" t="s">
        <v>22</v>
      </c>
      <c r="D31" s="1">
        <v>375</v>
      </c>
      <c r="E31" s="1" t="s">
        <v>469</v>
      </c>
      <c r="F31" s="5">
        <v>3196.29</v>
      </c>
      <c r="G31" s="5">
        <f t="shared" si="1"/>
        <v>3196.29</v>
      </c>
      <c r="I31" s="19">
        <f t="shared" si="2"/>
        <v>3196.29</v>
      </c>
      <c r="J31" s="18"/>
      <c r="K31" s="18"/>
      <c r="L31" s="18">
        <v>1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1">
        <f t="shared" si="3"/>
        <v>1</v>
      </c>
      <c r="AM31" s="5">
        <f t="shared" si="4"/>
        <v>0</v>
      </c>
      <c r="AN31" s="5">
        <f t="shared" si="5"/>
        <v>0</v>
      </c>
      <c r="AO31" s="5">
        <f t="shared" si="6"/>
        <v>3196.29</v>
      </c>
      <c r="AP31" s="5">
        <f t="shared" si="7"/>
        <v>0</v>
      </c>
      <c r="AQ31" s="5">
        <f t="shared" si="8"/>
        <v>0</v>
      </c>
      <c r="AR31" s="5">
        <f t="shared" si="9"/>
        <v>0</v>
      </c>
      <c r="AS31" s="5">
        <f t="shared" si="10"/>
        <v>0</v>
      </c>
      <c r="AT31" s="5">
        <f t="shared" si="11"/>
        <v>0</v>
      </c>
      <c r="AU31" s="5">
        <f t="shared" si="12"/>
        <v>0</v>
      </c>
      <c r="AV31" s="5">
        <f t="shared" si="13"/>
        <v>0</v>
      </c>
      <c r="AW31" s="5">
        <f t="shared" si="14"/>
        <v>0</v>
      </c>
      <c r="AX31" s="5">
        <f t="shared" si="15"/>
        <v>0</v>
      </c>
      <c r="AY31" s="5">
        <f t="shared" si="16"/>
        <v>0</v>
      </c>
      <c r="AZ31" s="5">
        <f t="shared" si="17"/>
        <v>0</v>
      </c>
      <c r="BA31" s="5">
        <f t="shared" si="18"/>
        <v>0</v>
      </c>
      <c r="BB31" s="5">
        <f t="shared" si="19"/>
        <v>0</v>
      </c>
      <c r="BC31" s="5">
        <f t="shared" si="20"/>
        <v>0</v>
      </c>
      <c r="BD31" s="5">
        <f t="shared" si="21"/>
        <v>0</v>
      </c>
      <c r="BE31" s="5">
        <f t="shared" si="22"/>
        <v>0</v>
      </c>
      <c r="BF31" s="5">
        <f t="shared" si="23"/>
        <v>0</v>
      </c>
      <c r="BG31" s="5">
        <f t="shared" si="24"/>
        <v>0</v>
      </c>
      <c r="BH31" s="5">
        <f t="shared" si="25"/>
        <v>0</v>
      </c>
      <c r="BI31" s="5">
        <f t="shared" si="26"/>
        <v>0</v>
      </c>
      <c r="BJ31" s="5">
        <f t="shared" si="27"/>
        <v>0</v>
      </c>
      <c r="BK31" s="5">
        <f t="shared" si="28"/>
        <v>0</v>
      </c>
      <c r="BL31" s="5">
        <f t="shared" si="29"/>
        <v>0</v>
      </c>
      <c r="BM31" s="5">
        <f t="shared" si="30"/>
        <v>0</v>
      </c>
      <c r="BN31" s="5">
        <f t="shared" si="31"/>
        <v>0</v>
      </c>
      <c r="BO31" s="12">
        <f t="shared" si="32"/>
        <v>3196.29</v>
      </c>
      <c r="BP31" s="12">
        <f t="shared" si="33"/>
        <v>0</v>
      </c>
    </row>
    <row r="32" spans="1:68">
      <c r="A32" s="1" t="s">
        <v>103</v>
      </c>
      <c r="B32" s="1">
        <v>375</v>
      </c>
      <c r="C32" s="1" t="s">
        <v>102</v>
      </c>
      <c r="D32" s="1">
        <v>375</v>
      </c>
      <c r="E32" s="1" t="s">
        <v>469</v>
      </c>
      <c r="F32" s="5">
        <v>3186.13</v>
      </c>
      <c r="G32" s="5">
        <f t="shared" si="1"/>
        <v>3186.13</v>
      </c>
      <c r="I32" s="19">
        <f t="shared" si="2"/>
        <v>3186.13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>
        <v>0.1</v>
      </c>
      <c r="AB32" s="18"/>
      <c r="AC32" s="18">
        <v>0.1</v>
      </c>
      <c r="AD32" s="18"/>
      <c r="AE32" s="18"/>
      <c r="AF32" s="18"/>
      <c r="AG32" s="18"/>
      <c r="AH32" s="18"/>
      <c r="AI32" s="18"/>
      <c r="AJ32" s="18">
        <v>0.8</v>
      </c>
      <c r="AK32" s="18"/>
      <c r="AL32" s="21">
        <f t="shared" si="3"/>
        <v>1</v>
      </c>
      <c r="AM32" s="5">
        <f t="shared" si="4"/>
        <v>0</v>
      </c>
      <c r="AN32" s="5">
        <f t="shared" si="5"/>
        <v>0</v>
      </c>
      <c r="AO32" s="5">
        <f t="shared" si="6"/>
        <v>0</v>
      </c>
      <c r="AP32" s="5">
        <f t="shared" si="7"/>
        <v>0</v>
      </c>
      <c r="AQ32" s="5">
        <f t="shared" si="8"/>
        <v>0</v>
      </c>
      <c r="AR32" s="5">
        <f t="shared" si="9"/>
        <v>0</v>
      </c>
      <c r="AS32" s="5">
        <f t="shared" si="10"/>
        <v>0</v>
      </c>
      <c r="AT32" s="5">
        <f t="shared" si="11"/>
        <v>0</v>
      </c>
      <c r="AU32" s="5">
        <f t="shared" si="12"/>
        <v>0</v>
      </c>
      <c r="AV32" s="5">
        <f t="shared" si="13"/>
        <v>0</v>
      </c>
      <c r="AW32" s="5">
        <f t="shared" si="14"/>
        <v>0</v>
      </c>
      <c r="AX32" s="5">
        <f t="shared" si="15"/>
        <v>0</v>
      </c>
      <c r="AY32" s="5">
        <f t="shared" si="16"/>
        <v>0</v>
      </c>
      <c r="AZ32" s="5">
        <f t="shared" si="17"/>
        <v>0</v>
      </c>
      <c r="BA32" s="5">
        <f t="shared" si="18"/>
        <v>0</v>
      </c>
      <c r="BB32" s="5">
        <f t="shared" si="19"/>
        <v>0</v>
      </c>
      <c r="BC32" s="5">
        <f t="shared" si="20"/>
        <v>0</v>
      </c>
      <c r="BD32" s="5">
        <f t="shared" si="21"/>
        <v>318.61300000000006</v>
      </c>
      <c r="BE32" s="5">
        <f t="shared" si="22"/>
        <v>0</v>
      </c>
      <c r="BF32" s="5">
        <f t="shared" si="23"/>
        <v>318.61300000000006</v>
      </c>
      <c r="BG32" s="5">
        <f t="shared" si="24"/>
        <v>0</v>
      </c>
      <c r="BH32" s="5">
        <f t="shared" si="25"/>
        <v>0</v>
      </c>
      <c r="BI32" s="5">
        <f t="shared" si="26"/>
        <v>0</v>
      </c>
      <c r="BJ32" s="5">
        <f t="shared" si="27"/>
        <v>0</v>
      </c>
      <c r="BK32" s="5">
        <f t="shared" si="28"/>
        <v>0</v>
      </c>
      <c r="BL32" s="5">
        <f t="shared" si="29"/>
        <v>0</v>
      </c>
      <c r="BM32" s="5">
        <f t="shared" si="30"/>
        <v>2548.9040000000005</v>
      </c>
      <c r="BN32" s="5">
        <f t="shared" si="31"/>
        <v>0</v>
      </c>
      <c r="BO32" s="12">
        <f t="shared" si="32"/>
        <v>3186.1300000000006</v>
      </c>
      <c r="BP32" s="12">
        <f t="shared" si="33"/>
        <v>0</v>
      </c>
    </row>
    <row r="33" spans="1:68">
      <c r="A33" s="1" t="s">
        <v>105</v>
      </c>
      <c r="B33" s="1">
        <v>375</v>
      </c>
      <c r="C33" s="1" t="s">
        <v>104</v>
      </c>
      <c r="D33" s="1">
        <v>375</v>
      </c>
      <c r="E33" s="1" t="s">
        <v>469</v>
      </c>
      <c r="F33" s="5">
        <v>3141.07</v>
      </c>
      <c r="G33" s="5">
        <f t="shared" si="1"/>
        <v>3141.07</v>
      </c>
      <c r="I33" s="19">
        <f t="shared" si="2"/>
        <v>3141.07</v>
      </c>
      <c r="J33" s="18"/>
      <c r="K33" s="18"/>
      <c r="L33" s="18">
        <v>1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1">
        <f t="shared" si="3"/>
        <v>1</v>
      </c>
      <c r="AM33" s="5">
        <f t="shared" si="4"/>
        <v>0</v>
      </c>
      <c r="AN33" s="5">
        <f t="shared" si="5"/>
        <v>0</v>
      </c>
      <c r="AO33" s="5">
        <f t="shared" si="6"/>
        <v>3141.07</v>
      </c>
      <c r="AP33" s="5">
        <f t="shared" si="7"/>
        <v>0</v>
      </c>
      <c r="AQ33" s="5">
        <f t="shared" si="8"/>
        <v>0</v>
      </c>
      <c r="AR33" s="5">
        <f t="shared" si="9"/>
        <v>0</v>
      </c>
      <c r="AS33" s="5">
        <f t="shared" si="10"/>
        <v>0</v>
      </c>
      <c r="AT33" s="5">
        <f t="shared" si="11"/>
        <v>0</v>
      </c>
      <c r="AU33" s="5">
        <f t="shared" si="12"/>
        <v>0</v>
      </c>
      <c r="AV33" s="5">
        <f t="shared" si="13"/>
        <v>0</v>
      </c>
      <c r="AW33" s="5">
        <f t="shared" si="14"/>
        <v>0</v>
      </c>
      <c r="AX33" s="5">
        <f t="shared" si="15"/>
        <v>0</v>
      </c>
      <c r="AY33" s="5">
        <f t="shared" si="16"/>
        <v>0</v>
      </c>
      <c r="AZ33" s="5">
        <f t="shared" si="17"/>
        <v>0</v>
      </c>
      <c r="BA33" s="5">
        <f t="shared" si="18"/>
        <v>0</v>
      </c>
      <c r="BB33" s="5">
        <f t="shared" si="19"/>
        <v>0</v>
      </c>
      <c r="BC33" s="5">
        <f t="shared" si="20"/>
        <v>0</v>
      </c>
      <c r="BD33" s="5">
        <f t="shared" si="21"/>
        <v>0</v>
      </c>
      <c r="BE33" s="5">
        <f t="shared" si="22"/>
        <v>0</v>
      </c>
      <c r="BF33" s="5">
        <f t="shared" si="23"/>
        <v>0</v>
      </c>
      <c r="BG33" s="5">
        <f t="shared" si="24"/>
        <v>0</v>
      </c>
      <c r="BH33" s="5">
        <f t="shared" si="25"/>
        <v>0</v>
      </c>
      <c r="BI33" s="5">
        <f t="shared" si="26"/>
        <v>0</v>
      </c>
      <c r="BJ33" s="5">
        <f t="shared" si="27"/>
        <v>0</v>
      </c>
      <c r="BK33" s="5">
        <f t="shared" si="28"/>
        <v>0</v>
      </c>
      <c r="BL33" s="5">
        <f t="shared" si="29"/>
        <v>0</v>
      </c>
      <c r="BM33" s="5">
        <f t="shared" si="30"/>
        <v>0</v>
      </c>
      <c r="BN33" s="5">
        <f t="shared" si="31"/>
        <v>0</v>
      </c>
      <c r="BO33" s="12">
        <f t="shared" si="32"/>
        <v>3141.07</v>
      </c>
      <c r="BP33" s="12">
        <f t="shared" si="33"/>
        <v>0</v>
      </c>
    </row>
    <row r="34" spans="1:68">
      <c r="A34" s="1" t="s">
        <v>61</v>
      </c>
      <c r="B34" s="1">
        <v>375</v>
      </c>
      <c r="C34" s="1" t="s">
        <v>60</v>
      </c>
      <c r="D34" s="1">
        <v>375</v>
      </c>
      <c r="E34" s="1" t="s">
        <v>469</v>
      </c>
      <c r="F34" s="5">
        <v>3112.11</v>
      </c>
      <c r="G34" s="5">
        <f t="shared" ref="G34:G55" si="34">+F34</f>
        <v>3112.11</v>
      </c>
      <c r="I34" s="19">
        <f t="shared" ref="I34:I56" si="35">+G34</f>
        <v>3112.11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>
        <v>0.7</v>
      </c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>
        <v>0.3</v>
      </c>
      <c r="AJ34" s="18"/>
      <c r="AK34" s="18"/>
      <c r="AL34" s="21">
        <f t="shared" ref="AL34:AL56" si="36">SUM(J34:AK34)</f>
        <v>1</v>
      </c>
      <c r="AM34" s="5">
        <f t="shared" ref="AM34:AM56" si="37">+J34*$I34</f>
        <v>0</v>
      </c>
      <c r="AN34" s="5">
        <f t="shared" ref="AN34:AN56" si="38">+K34*$I34</f>
        <v>0</v>
      </c>
      <c r="AO34" s="5">
        <f t="shared" ref="AO34:AO56" si="39">+L34*$I34</f>
        <v>0</v>
      </c>
      <c r="AP34" s="5">
        <f t="shared" ref="AP34:AP56" si="40">+M34*$I34</f>
        <v>0</v>
      </c>
      <c r="AQ34" s="5">
        <f t="shared" ref="AQ34:AQ56" si="41">+N34*$I34</f>
        <v>0</v>
      </c>
      <c r="AR34" s="5">
        <f t="shared" ref="AR34:AR56" si="42">+O34*$I34</f>
        <v>0</v>
      </c>
      <c r="AS34" s="5">
        <f t="shared" ref="AS34:AS56" si="43">+P34*$I34</f>
        <v>0</v>
      </c>
      <c r="AT34" s="5">
        <f t="shared" ref="AT34:AT56" si="44">+Q34*$I34</f>
        <v>0</v>
      </c>
      <c r="AU34" s="5">
        <f t="shared" ref="AU34:AU56" si="45">+R34*$I34</f>
        <v>0</v>
      </c>
      <c r="AV34" s="5">
        <f t="shared" ref="AV34:AV56" si="46">+S34*$I34</f>
        <v>0</v>
      </c>
      <c r="AW34" s="5">
        <f t="shared" ref="AW34:AW56" si="47">+T34*$I34</f>
        <v>2178.4769999999999</v>
      </c>
      <c r="AX34" s="5">
        <f t="shared" ref="AX34:AX56" si="48">+U34*$I34</f>
        <v>0</v>
      </c>
      <c r="AY34" s="5">
        <f t="shared" ref="AY34:AY56" si="49">+V34*$I34</f>
        <v>0</v>
      </c>
      <c r="AZ34" s="5">
        <f t="shared" ref="AZ34:AZ56" si="50">+W34*$I34</f>
        <v>0</v>
      </c>
      <c r="BA34" s="5">
        <f t="shared" ref="BA34:BA56" si="51">+X34*$I34</f>
        <v>0</v>
      </c>
      <c r="BB34" s="5">
        <f t="shared" ref="BB34:BB56" si="52">+Y34*$I34</f>
        <v>0</v>
      </c>
      <c r="BC34" s="5">
        <f t="shared" ref="BC34:BC56" si="53">+Z34*$I34</f>
        <v>0</v>
      </c>
      <c r="BD34" s="5">
        <f t="shared" ref="BD34:BD56" si="54">+AA34*$I34</f>
        <v>0</v>
      </c>
      <c r="BE34" s="5">
        <f t="shared" ref="BE34:BE56" si="55">+AB34*$I34</f>
        <v>0</v>
      </c>
      <c r="BF34" s="5">
        <f t="shared" ref="BF34:BF56" si="56">+AC34*$I34</f>
        <v>0</v>
      </c>
      <c r="BG34" s="5">
        <f t="shared" ref="BG34:BG56" si="57">+AD34*$I34</f>
        <v>0</v>
      </c>
      <c r="BH34" s="5">
        <f t="shared" ref="BH34:BH56" si="58">+AE34*$I34</f>
        <v>0</v>
      </c>
      <c r="BI34" s="5">
        <f t="shared" ref="BI34:BI56" si="59">+AF34*$I34</f>
        <v>0</v>
      </c>
      <c r="BJ34" s="5">
        <f t="shared" ref="BJ34:BJ56" si="60">+AG34*$I34</f>
        <v>0</v>
      </c>
      <c r="BK34" s="5">
        <f t="shared" ref="BK34:BK56" si="61">+AH34*$I34</f>
        <v>0</v>
      </c>
      <c r="BL34" s="5">
        <f t="shared" ref="BL34:BL56" si="62">+AI34*$I34</f>
        <v>933.63300000000004</v>
      </c>
      <c r="BM34" s="5">
        <f t="shared" ref="BM34:BM56" si="63">+AJ34*$I34</f>
        <v>0</v>
      </c>
      <c r="BN34" s="5">
        <f t="shared" ref="BN34:BN56" si="64">+AK34*$I34</f>
        <v>0</v>
      </c>
      <c r="BO34" s="12">
        <f t="shared" ref="BO34:BO56" si="65">SUM(AM34:BN34)</f>
        <v>3112.1099999999997</v>
      </c>
      <c r="BP34" s="12">
        <f t="shared" ref="BP34:BP56" si="66">+BO34-I34</f>
        <v>0</v>
      </c>
    </row>
    <row r="35" spans="1:68">
      <c r="A35" s="1" t="s">
        <v>41</v>
      </c>
      <c r="B35" s="1">
        <v>375</v>
      </c>
      <c r="C35" s="1" t="s">
        <v>40</v>
      </c>
      <c r="D35" s="1">
        <v>375</v>
      </c>
      <c r="E35" s="1" t="s">
        <v>469</v>
      </c>
      <c r="F35" s="5">
        <v>3094.83</v>
      </c>
      <c r="G35" s="5">
        <f t="shared" si="34"/>
        <v>3094.83</v>
      </c>
      <c r="I35" s="19">
        <f t="shared" si="35"/>
        <v>3094.83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>
        <v>1</v>
      </c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1">
        <f t="shared" si="36"/>
        <v>1</v>
      </c>
      <c r="AM35" s="5">
        <f t="shared" si="37"/>
        <v>0</v>
      </c>
      <c r="AN35" s="5">
        <f t="shared" si="38"/>
        <v>0</v>
      </c>
      <c r="AO35" s="5">
        <f t="shared" si="39"/>
        <v>0</v>
      </c>
      <c r="AP35" s="5">
        <f t="shared" si="40"/>
        <v>0</v>
      </c>
      <c r="AQ35" s="5">
        <f t="shared" si="41"/>
        <v>0</v>
      </c>
      <c r="AR35" s="5">
        <f t="shared" si="42"/>
        <v>0</v>
      </c>
      <c r="AS35" s="5">
        <f t="shared" si="43"/>
        <v>0</v>
      </c>
      <c r="AT35" s="5">
        <f t="shared" si="44"/>
        <v>0</v>
      </c>
      <c r="AU35" s="5">
        <f t="shared" si="45"/>
        <v>0</v>
      </c>
      <c r="AV35" s="5">
        <f t="shared" si="46"/>
        <v>0</v>
      </c>
      <c r="AW35" s="5">
        <f t="shared" si="47"/>
        <v>0</v>
      </c>
      <c r="AX35" s="5">
        <f t="shared" si="48"/>
        <v>0</v>
      </c>
      <c r="AY35" s="5">
        <f t="shared" si="49"/>
        <v>0</v>
      </c>
      <c r="AZ35" s="5">
        <f t="shared" si="50"/>
        <v>3094.83</v>
      </c>
      <c r="BA35" s="5">
        <f t="shared" si="51"/>
        <v>0</v>
      </c>
      <c r="BB35" s="5">
        <f t="shared" si="52"/>
        <v>0</v>
      </c>
      <c r="BC35" s="5">
        <f t="shared" si="53"/>
        <v>0</v>
      </c>
      <c r="BD35" s="5">
        <f t="shared" si="54"/>
        <v>0</v>
      </c>
      <c r="BE35" s="5">
        <f t="shared" si="55"/>
        <v>0</v>
      </c>
      <c r="BF35" s="5">
        <f t="shared" si="56"/>
        <v>0</v>
      </c>
      <c r="BG35" s="5">
        <f t="shared" si="57"/>
        <v>0</v>
      </c>
      <c r="BH35" s="5">
        <f t="shared" si="58"/>
        <v>0</v>
      </c>
      <c r="BI35" s="5">
        <f t="shared" si="59"/>
        <v>0</v>
      </c>
      <c r="BJ35" s="5">
        <f t="shared" si="60"/>
        <v>0</v>
      </c>
      <c r="BK35" s="5">
        <f t="shared" si="61"/>
        <v>0</v>
      </c>
      <c r="BL35" s="5">
        <f t="shared" si="62"/>
        <v>0</v>
      </c>
      <c r="BM35" s="5">
        <f t="shared" si="63"/>
        <v>0</v>
      </c>
      <c r="BN35" s="5">
        <f t="shared" si="64"/>
        <v>0</v>
      </c>
      <c r="BO35" s="12">
        <f t="shared" si="65"/>
        <v>3094.83</v>
      </c>
      <c r="BP35" s="12">
        <f t="shared" si="66"/>
        <v>0</v>
      </c>
    </row>
    <row r="36" spans="1:68">
      <c r="A36" s="1" t="s">
        <v>73</v>
      </c>
      <c r="B36" s="1">
        <v>375</v>
      </c>
      <c r="C36" s="1" t="s">
        <v>72</v>
      </c>
      <c r="D36" s="1">
        <v>375</v>
      </c>
      <c r="E36" s="1" t="s">
        <v>469</v>
      </c>
      <c r="F36" s="5">
        <v>3085.86</v>
      </c>
      <c r="G36" s="5">
        <f t="shared" si="34"/>
        <v>3085.86</v>
      </c>
      <c r="I36" s="19">
        <f t="shared" si="35"/>
        <v>3085.86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>
        <v>1</v>
      </c>
      <c r="AE36" s="18"/>
      <c r="AF36" s="18"/>
      <c r="AG36" s="18"/>
      <c r="AH36" s="18"/>
      <c r="AI36" s="18"/>
      <c r="AJ36" s="18"/>
      <c r="AK36" s="18"/>
      <c r="AL36" s="21">
        <f t="shared" si="36"/>
        <v>1</v>
      </c>
      <c r="AM36" s="5">
        <f t="shared" si="37"/>
        <v>0</v>
      </c>
      <c r="AN36" s="5">
        <f t="shared" si="38"/>
        <v>0</v>
      </c>
      <c r="AO36" s="5">
        <f t="shared" si="39"/>
        <v>0</v>
      </c>
      <c r="AP36" s="5">
        <f t="shared" si="40"/>
        <v>0</v>
      </c>
      <c r="AQ36" s="5">
        <f t="shared" si="41"/>
        <v>0</v>
      </c>
      <c r="AR36" s="5">
        <f t="shared" si="42"/>
        <v>0</v>
      </c>
      <c r="AS36" s="5">
        <f t="shared" si="43"/>
        <v>0</v>
      </c>
      <c r="AT36" s="5">
        <f t="shared" si="44"/>
        <v>0</v>
      </c>
      <c r="AU36" s="5">
        <f t="shared" si="45"/>
        <v>0</v>
      </c>
      <c r="AV36" s="5">
        <f t="shared" si="46"/>
        <v>0</v>
      </c>
      <c r="AW36" s="5">
        <f t="shared" si="47"/>
        <v>0</v>
      </c>
      <c r="AX36" s="5">
        <f t="shared" si="48"/>
        <v>0</v>
      </c>
      <c r="AY36" s="5">
        <f t="shared" si="49"/>
        <v>0</v>
      </c>
      <c r="AZ36" s="5">
        <f t="shared" si="50"/>
        <v>0</v>
      </c>
      <c r="BA36" s="5">
        <f t="shared" si="51"/>
        <v>0</v>
      </c>
      <c r="BB36" s="5">
        <f t="shared" si="52"/>
        <v>0</v>
      </c>
      <c r="BC36" s="5">
        <f t="shared" si="53"/>
        <v>0</v>
      </c>
      <c r="BD36" s="5">
        <f t="shared" si="54"/>
        <v>0</v>
      </c>
      <c r="BE36" s="5">
        <f t="shared" si="55"/>
        <v>0</v>
      </c>
      <c r="BF36" s="5">
        <f t="shared" si="56"/>
        <v>0</v>
      </c>
      <c r="BG36" s="5">
        <f t="shared" si="57"/>
        <v>3085.86</v>
      </c>
      <c r="BH36" s="5">
        <f t="shared" si="58"/>
        <v>0</v>
      </c>
      <c r="BI36" s="5">
        <f t="shared" si="59"/>
        <v>0</v>
      </c>
      <c r="BJ36" s="5">
        <f t="shared" si="60"/>
        <v>0</v>
      </c>
      <c r="BK36" s="5">
        <f t="shared" si="61"/>
        <v>0</v>
      </c>
      <c r="BL36" s="5">
        <f t="shared" si="62"/>
        <v>0</v>
      </c>
      <c r="BM36" s="5">
        <f t="shared" si="63"/>
        <v>0</v>
      </c>
      <c r="BN36" s="5">
        <f t="shared" si="64"/>
        <v>0</v>
      </c>
      <c r="BO36" s="12">
        <f t="shared" si="65"/>
        <v>3085.86</v>
      </c>
      <c r="BP36" s="12">
        <f t="shared" si="66"/>
        <v>0</v>
      </c>
    </row>
    <row r="37" spans="1:68">
      <c r="A37" s="1" t="s">
        <v>91</v>
      </c>
      <c r="B37" s="1">
        <v>375</v>
      </c>
      <c r="C37" s="1" t="s">
        <v>90</v>
      </c>
      <c r="D37" s="1">
        <v>375</v>
      </c>
      <c r="E37" s="1" t="s">
        <v>469</v>
      </c>
      <c r="F37" s="5">
        <v>3024.14</v>
      </c>
      <c r="G37" s="5">
        <f t="shared" si="34"/>
        <v>3024.14</v>
      </c>
      <c r="I37" s="19">
        <f t="shared" si="35"/>
        <v>3024.14</v>
      </c>
      <c r="J37" s="18"/>
      <c r="K37" s="18">
        <v>1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1">
        <f t="shared" si="36"/>
        <v>1</v>
      </c>
      <c r="AM37" s="5">
        <f t="shared" si="37"/>
        <v>0</v>
      </c>
      <c r="AN37" s="5">
        <f t="shared" si="38"/>
        <v>3024.14</v>
      </c>
      <c r="AO37" s="5">
        <f t="shared" si="39"/>
        <v>0</v>
      </c>
      <c r="AP37" s="5">
        <f t="shared" si="40"/>
        <v>0</v>
      </c>
      <c r="AQ37" s="5">
        <f t="shared" si="41"/>
        <v>0</v>
      </c>
      <c r="AR37" s="5">
        <f t="shared" si="42"/>
        <v>0</v>
      </c>
      <c r="AS37" s="5">
        <f t="shared" si="43"/>
        <v>0</v>
      </c>
      <c r="AT37" s="5">
        <f t="shared" si="44"/>
        <v>0</v>
      </c>
      <c r="AU37" s="5">
        <f t="shared" si="45"/>
        <v>0</v>
      </c>
      <c r="AV37" s="5">
        <f t="shared" si="46"/>
        <v>0</v>
      </c>
      <c r="AW37" s="5">
        <f t="shared" si="47"/>
        <v>0</v>
      </c>
      <c r="AX37" s="5">
        <f t="shared" si="48"/>
        <v>0</v>
      </c>
      <c r="AY37" s="5">
        <f t="shared" si="49"/>
        <v>0</v>
      </c>
      <c r="AZ37" s="5">
        <f t="shared" si="50"/>
        <v>0</v>
      </c>
      <c r="BA37" s="5">
        <f t="shared" si="51"/>
        <v>0</v>
      </c>
      <c r="BB37" s="5">
        <f t="shared" si="52"/>
        <v>0</v>
      </c>
      <c r="BC37" s="5">
        <f t="shared" si="53"/>
        <v>0</v>
      </c>
      <c r="BD37" s="5">
        <f t="shared" si="54"/>
        <v>0</v>
      </c>
      <c r="BE37" s="5">
        <f t="shared" si="55"/>
        <v>0</v>
      </c>
      <c r="BF37" s="5">
        <f t="shared" si="56"/>
        <v>0</v>
      </c>
      <c r="BG37" s="5">
        <f t="shared" si="57"/>
        <v>0</v>
      </c>
      <c r="BH37" s="5">
        <f t="shared" si="58"/>
        <v>0</v>
      </c>
      <c r="BI37" s="5">
        <f t="shared" si="59"/>
        <v>0</v>
      </c>
      <c r="BJ37" s="5">
        <f t="shared" si="60"/>
        <v>0</v>
      </c>
      <c r="BK37" s="5">
        <f t="shared" si="61"/>
        <v>0</v>
      </c>
      <c r="BL37" s="5">
        <f t="shared" si="62"/>
        <v>0</v>
      </c>
      <c r="BM37" s="5">
        <f t="shared" si="63"/>
        <v>0</v>
      </c>
      <c r="BN37" s="5">
        <f t="shared" si="64"/>
        <v>0</v>
      </c>
      <c r="BO37" s="12">
        <f t="shared" si="65"/>
        <v>3024.14</v>
      </c>
      <c r="BP37" s="12">
        <f t="shared" si="66"/>
        <v>0</v>
      </c>
    </row>
    <row r="38" spans="1:68">
      <c r="A38" s="1" t="s">
        <v>21</v>
      </c>
      <c r="B38" s="1">
        <v>375</v>
      </c>
      <c r="C38" s="1" t="s">
        <v>20</v>
      </c>
      <c r="D38" s="1">
        <v>375</v>
      </c>
      <c r="E38" s="1" t="s">
        <v>469</v>
      </c>
      <c r="F38" s="5">
        <v>2989.12</v>
      </c>
      <c r="G38" s="5">
        <f t="shared" si="34"/>
        <v>2989.12</v>
      </c>
      <c r="I38" s="19">
        <f t="shared" si="35"/>
        <v>2989.12</v>
      </c>
      <c r="J38" s="18"/>
      <c r="K38" s="18"/>
      <c r="L38" s="18"/>
      <c r="M38" s="18">
        <v>1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1">
        <f t="shared" si="36"/>
        <v>1</v>
      </c>
      <c r="AM38" s="5">
        <f t="shared" si="37"/>
        <v>0</v>
      </c>
      <c r="AN38" s="5">
        <f t="shared" si="38"/>
        <v>0</v>
      </c>
      <c r="AO38" s="5">
        <f t="shared" si="39"/>
        <v>0</v>
      </c>
      <c r="AP38" s="5">
        <f t="shared" si="40"/>
        <v>2989.12</v>
      </c>
      <c r="AQ38" s="5">
        <f t="shared" si="41"/>
        <v>0</v>
      </c>
      <c r="AR38" s="5">
        <f t="shared" si="42"/>
        <v>0</v>
      </c>
      <c r="AS38" s="5">
        <f t="shared" si="43"/>
        <v>0</v>
      </c>
      <c r="AT38" s="5">
        <f t="shared" si="44"/>
        <v>0</v>
      </c>
      <c r="AU38" s="5">
        <f t="shared" si="45"/>
        <v>0</v>
      </c>
      <c r="AV38" s="5">
        <f t="shared" si="46"/>
        <v>0</v>
      </c>
      <c r="AW38" s="5">
        <f t="shared" si="47"/>
        <v>0</v>
      </c>
      <c r="AX38" s="5">
        <f t="shared" si="48"/>
        <v>0</v>
      </c>
      <c r="AY38" s="5">
        <f t="shared" si="49"/>
        <v>0</v>
      </c>
      <c r="AZ38" s="5">
        <f t="shared" si="50"/>
        <v>0</v>
      </c>
      <c r="BA38" s="5">
        <f t="shared" si="51"/>
        <v>0</v>
      </c>
      <c r="BB38" s="5">
        <f t="shared" si="52"/>
        <v>0</v>
      </c>
      <c r="BC38" s="5">
        <f t="shared" si="53"/>
        <v>0</v>
      </c>
      <c r="BD38" s="5">
        <f t="shared" si="54"/>
        <v>0</v>
      </c>
      <c r="BE38" s="5">
        <f t="shared" si="55"/>
        <v>0</v>
      </c>
      <c r="BF38" s="5">
        <f t="shared" si="56"/>
        <v>0</v>
      </c>
      <c r="BG38" s="5">
        <f t="shared" si="57"/>
        <v>0</v>
      </c>
      <c r="BH38" s="5">
        <f t="shared" si="58"/>
        <v>0</v>
      </c>
      <c r="BI38" s="5">
        <f t="shared" si="59"/>
        <v>0</v>
      </c>
      <c r="BJ38" s="5">
        <f t="shared" si="60"/>
        <v>0</v>
      </c>
      <c r="BK38" s="5">
        <f t="shared" si="61"/>
        <v>0</v>
      </c>
      <c r="BL38" s="5">
        <f t="shared" si="62"/>
        <v>0</v>
      </c>
      <c r="BM38" s="5">
        <f t="shared" si="63"/>
        <v>0</v>
      </c>
      <c r="BN38" s="5">
        <f t="shared" si="64"/>
        <v>0</v>
      </c>
      <c r="BO38" s="12">
        <f t="shared" si="65"/>
        <v>2989.12</v>
      </c>
      <c r="BP38" s="12">
        <f t="shared" si="66"/>
        <v>0</v>
      </c>
    </row>
    <row r="39" spans="1:68">
      <c r="A39" s="1" t="s">
        <v>79</v>
      </c>
      <c r="B39" s="1">
        <v>375</v>
      </c>
      <c r="C39" s="1" t="s">
        <v>78</v>
      </c>
      <c r="D39" s="1">
        <v>375</v>
      </c>
      <c r="E39" s="1" t="s">
        <v>469</v>
      </c>
      <c r="F39" s="5">
        <v>2965.61</v>
      </c>
      <c r="G39" s="5">
        <f t="shared" si="34"/>
        <v>2965.61</v>
      </c>
      <c r="I39" s="19">
        <f t="shared" si="35"/>
        <v>2965.61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>
        <v>1</v>
      </c>
      <c r="AE39" s="18"/>
      <c r="AF39" s="18"/>
      <c r="AG39" s="18"/>
      <c r="AH39" s="18"/>
      <c r="AI39" s="18"/>
      <c r="AJ39" s="18"/>
      <c r="AK39" s="18"/>
      <c r="AL39" s="21">
        <f t="shared" si="36"/>
        <v>1</v>
      </c>
      <c r="AM39" s="5">
        <f t="shared" si="37"/>
        <v>0</v>
      </c>
      <c r="AN39" s="5">
        <f t="shared" si="38"/>
        <v>0</v>
      </c>
      <c r="AO39" s="5">
        <f t="shared" si="39"/>
        <v>0</v>
      </c>
      <c r="AP39" s="5">
        <f t="shared" si="40"/>
        <v>0</v>
      </c>
      <c r="AQ39" s="5">
        <f t="shared" si="41"/>
        <v>0</v>
      </c>
      <c r="AR39" s="5">
        <f t="shared" si="42"/>
        <v>0</v>
      </c>
      <c r="AS39" s="5">
        <f t="shared" si="43"/>
        <v>0</v>
      </c>
      <c r="AT39" s="5">
        <f t="shared" si="44"/>
        <v>0</v>
      </c>
      <c r="AU39" s="5">
        <f t="shared" si="45"/>
        <v>0</v>
      </c>
      <c r="AV39" s="5">
        <f t="shared" si="46"/>
        <v>0</v>
      </c>
      <c r="AW39" s="5">
        <f t="shared" si="47"/>
        <v>0</v>
      </c>
      <c r="AX39" s="5">
        <f t="shared" si="48"/>
        <v>0</v>
      </c>
      <c r="AY39" s="5">
        <f t="shared" si="49"/>
        <v>0</v>
      </c>
      <c r="AZ39" s="5">
        <f t="shared" si="50"/>
        <v>0</v>
      </c>
      <c r="BA39" s="5">
        <f t="shared" si="51"/>
        <v>0</v>
      </c>
      <c r="BB39" s="5">
        <f t="shared" si="52"/>
        <v>0</v>
      </c>
      <c r="BC39" s="5">
        <f t="shared" si="53"/>
        <v>0</v>
      </c>
      <c r="BD39" s="5">
        <f t="shared" si="54"/>
        <v>0</v>
      </c>
      <c r="BE39" s="5">
        <f t="shared" si="55"/>
        <v>0</v>
      </c>
      <c r="BF39" s="5">
        <f t="shared" si="56"/>
        <v>0</v>
      </c>
      <c r="BG39" s="5">
        <f t="shared" si="57"/>
        <v>2965.61</v>
      </c>
      <c r="BH39" s="5">
        <f t="shared" si="58"/>
        <v>0</v>
      </c>
      <c r="BI39" s="5">
        <f t="shared" si="59"/>
        <v>0</v>
      </c>
      <c r="BJ39" s="5">
        <f t="shared" si="60"/>
        <v>0</v>
      </c>
      <c r="BK39" s="5">
        <f t="shared" si="61"/>
        <v>0</v>
      </c>
      <c r="BL39" s="5">
        <f t="shared" si="62"/>
        <v>0</v>
      </c>
      <c r="BM39" s="5">
        <f t="shared" si="63"/>
        <v>0</v>
      </c>
      <c r="BN39" s="5">
        <f t="shared" si="64"/>
        <v>0</v>
      </c>
      <c r="BO39" s="12">
        <f t="shared" si="65"/>
        <v>2965.61</v>
      </c>
      <c r="BP39" s="12">
        <f t="shared" si="66"/>
        <v>0</v>
      </c>
    </row>
    <row r="40" spans="1:68">
      <c r="A40" s="1" t="s">
        <v>19</v>
      </c>
      <c r="B40" s="1">
        <v>375</v>
      </c>
      <c r="C40" s="1" t="s">
        <v>18</v>
      </c>
      <c r="D40" s="1">
        <v>375</v>
      </c>
      <c r="E40" s="1" t="s">
        <v>469</v>
      </c>
      <c r="F40" s="5">
        <v>2946.29</v>
      </c>
      <c r="G40" s="5">
        <f t="shared" si="34"/>
        <v>2946.29</v>
      </c>
      <c r="I40" s="19">
        <f t="shared" si="35"/>
        <v>2946.29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>
        <v>0.5</v>
      </c>
      <c r="AB40" s="18"/>
      <c r="AC40" s="18">
        <v>0.5</v>
      </c>
      <c r="AD40" s="18"/>
      <c r="AE40" s="18"/>
      <c r="AF40" s="18"/>
      <c r="AG40" s="18"/>
      <c r="AH40" s="18"/>
      <c r="AI40" s="18"/>
      <c r="AJ40" s="18"/>
      <c r="AK40" s="18"/>
      <c r="AL40" s="21">
        <f t="shared" si="36"/>
        <v>1</v>
      </c>
      <c r="AM40" s="5">
        <f t="shared" si="37"/>
        <v>0</v>
      </c>
      <c r="AN40" s="5">
        <f t="shared" si="38"/>
        <v>0</v>
      </c>
      <c r="AO40" s="5">
        <f t="shared" si="39"/>
        <v>0</v>
      </c>
      <c r="AP40" s="5">
        <f t="shared" si="40"/>
        <v>0</v>
      </c>
      <c r="AQ40" s="5">
        <f t="shared" si="41"/>
        <v>0</v>
      </c>
      <c r="AR40" s="5">
        <f t="shared" si="42"/>
        <v>0</v>
      </c>
      <c r="AS40" s="5">
        <f t="shared" si="43"/>
        <v>0</v>
      </c>
      <c r="AT40" s="5">
        <f t="shared" si="44"/>
        <v>0</v>
      </c>
      <c r="AU40" s="5">
        <f t="shared" si="45"/>
        <v>0</v>
      </c>
      <c r="AV40" s="5">
        <f t="shared" si="46"/>
        <v>0</v>
      </c>
      <c r="AW40" s="5">
        <f t="shared" si="47"/>
        <v>0</v>
      </c>
      <c r="AX40" s="5">
        <f t="shared" si="48"/>
        <v>0</v>
      </c>
      <c r="AY40" s="5">
        <f t="shared" si="49"/>
        <v>0</v>
      </c>
      <c r="AZ40" s="5">
        <f t="shared" si="50"/>
        <v>0</v>
      </c>
      <c r="BA40" s="5">
        <f t="shared" si="51"/>
        <v>0</v>
      </c>
      <c r="BB40" s="5">
        <f t="shared" si="52"/>
        <v>0</v>
      </c>
      <c r="BC40" s="5">
        <f t="shared" si="53"/>
        <v>0</v>
      </c>
      <c r="BD40" s="5">
        <f t="shared" si="54"/>
        <v>1473.145</v>
      </c>
      <c r="BE40" s="5">
        <f t="shared" si="55"/>
        <v>0</v>
      </c>
      <c r="BF40" s="5">
        <f t="shared" si="56"/>
        <v>1473.145</v>
      </c>
      <c r="BG40" s="5">
        <f t="shared" si="57"/>
        <v>0</v>
      </c>
      <c r="BH40" s="5">
        <f t="shared" si="58"/>
        <v>0</v>
      </c>
      <c r="BI40" s="5">
        <f t="shared" si="59"/>
        <v>0</v>
      </c>
      <c r="BJ40" s="5">
        <f t="shared" si="60"/>
        <v>0</v>
      </c>
      <c r="BK40" s="5">
        <f t="shared" si="61"/>
        <v>0</v>
      </c>
      <c r="BL40" s="5">
        <f t="shared" si="62"/>
        <v>0</v>
      </c>
      <c r="BM40" s="5">
        <f t="shared" si="63"/>
        <v>0</v>
      </c>
      <c r="BN40" s="5">
        <f t="shared" si="64"/>
        <v>0</v>
      </c>
      <c r="BO40" s="12">
        <f t="shared" si="65"/>
        <v>2946.29</v>
      </c>
      <c r="BP40" s="12">
        <f t="shared" si="66"/>
        <v>0</v>
      </c>
    </row>
    <row r="41" spans="1:68">
      <c r="A41" s="1" t="s">
        <v>17</v>
      </c>
      <c r="B41" s="1">
        <v>375</v>
      </c>
      <c r="C41" s="1" t="s">
        <v>16</v>
      </c>
      <c r="D41" s="1">
        <v>375</v>
      </c>
      <c r="E41" s="1" t="s">
        <v>469</v>
      </c>
      <c r="F41" s="5">
        <v>2912.84</v>
      </c>
      <c r="G41" s="5">
        <f t="shared" si="34"/>
        <v>2912.84</v>
      </c>
      <c r="I41" s="19">
        <f t="shared" si="35"/>
        <v>2912.84</v>
      </c>
      <c r="J41" s="18"/>
      <c r="K41" s="18">
        <v>1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1">
        <f t="shared" si="36"/>
        <v>1</v>
      </c>
      <c r="AM41" s="5">
        <f t="shared" si="37"/>
        <v>0</v>
      </c>
      <c r="AN41" s="5">
        <f t="shared" si="38"/>
        <v>2912.84</v>
      </c>
      <c r="AO41" s="5">
        <f t="shared" si="39"/>
        <v>0</v>
      </c>
      <c r="AP41" s="5">
        <f t="shared" si="40"/>
        <v>0</v>
      </c>
      <c r="AQ41" s="5">
        <f t="shared" si="41"/>
        <v>0</v>
      </c>
      <c r="AR41" s="5">
        <f t="shared" si="42"/>
        <v>0</v>
      </c>
      <c r="AS41" s="5">
        <f t="shared" si="43"/>
        <v>0</v>
      </c>
      <c r="AT41" s="5">
        <f t="shared" si="44"/>
        <v>0</v>
      </c>
      <c r="AU41" s="5">
        <f t="shared" si="45"/>
        <v>0</v>
      </c>
      <c r="AV41" s="5">
        <f t="shared" si="46"/>
        <v>0</v>
      </c>
      <c r="AW41" s="5">
        <f t="shared" si="47"/>
        <v>0</v>
      </c>
      <c r="AX41" s="5">
        <f t="shared" si="48"/>
        <v>0</v>
      </c>
      <c r="AY41" s="5">
        <f t="shared" si="49"/>
        <v>0</v>
      </c>
      <c r="AZ41" s="5">
        <f t="shared" si="50"/>
        <v>0</v>
      </c>
      <c r="BA41" s="5">
        <f t="shared" si="51"/>
        <v>0</v>
      </c>
      <c r="BB41" s="5">
        <f t="shared" si="52"/>
        <v>0</v>
      </c>
      <c r="BC41" s="5">
        <f t="shared" si="53"/>
        <v>0</v>
      </c>
      <c r="BD41" s="5">
        <f t="shared" si="54"/>
        <v>0</v>
      </c>
      <c r="BE41" s="5">
        <f t="shared" si="55"/>
        <v>0</v>
      </c>
      <c r="BF41" s="5">
        <f t="shared" si="56"/>
        <v>0</v>
      </c>
      <c r="BG41" s="5">
        <f t="shared" si="57"/>
        <v>0</v>
      </c>
      <c r="BH41" s="5">
        <f t="shared" si="58"/>
        <v>0</v>
      </c>
      <c r="BI41" s="5">
        <f t="shared" si="59"/>
        <v>0</v>
      </c>
      <c r="BJ41" s="5">
        <f t="shared" si="60"/>
        <v>0</v>
      </c>
      <c r="BK41" s="5">
        <f t="shared" si="61"/>
        <v>0</v>
      </c>
      <c r="BL41" s="5">
        <f t="shared" si="62"/>
        <v>0</v>
      </c>
      <c r="BM41" s="5">
        <f t="shared" si="63"/>
        <v>0</v>
      </c>
      <c r="BN41" s="5">
        <f t="shared" si="64"/>
        <v>0</v>
      </c>
      <c r="BO41" s="12">
        <f t="shared" si="65"/>
        <v>2912.84</v>
      </c>
      <c r="BP41" s="12">
        <f t="shared" si="66"/>
        <v>0</v>
      </c>
    </row>
    <row r="42" spans="1:68">
      <c r="A42" s="1" t="s">
        <v>97</v>
      </c>
      <c r="B42" s="1">
        <v>375</v>
      </c>
      <c r="C42" s="1" t="s">
        <v>96</v>
      </c>
      <c r="D42" s="1">
        <v>375</v>
      </c>
      <c r="E42" s="1" t="s">
        <v>469</v>
      </c>
      <c r="F42" s="5">
        <v>2905.44</v>
      </c>
      <c r="G42" s="5">
        <f t="shared" si="34"/>
        <v>2905.44</v>
      </c>
      <c r="I42" s="19">
        <f t="shared" si="35"/>
        <v>2905.44</v>
      </c>
      <c r="J42" s="18"/>
      <c r="K42" s="18"/>
      <c r="L42" s="18"/>
      <c r="M42" s="18"/>
      <c r="N42" s="18"/>
      <c r="O42" s="18"/>
      <c r="P42" s="18"/>
      <c r="Q42" s="18"/>
      <c r="R42" s="18">
        <v>0.4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>
        <v>0.6</v>
      </c>
      <c r="AJ42" s="18"/>
      <c r="AK42" s="18"/>
      <c r="AL42" s="21">
        <f t="shared" si="36"/>
        <v>1</v>
      </c>
      <c r="AM42" s="5">
        <f t="shared" si="37"/>
        <v>0</v>
      </c>
      <c r="AN42" s="5">
        <f t="shared" si="38"/>
        <v>0</v>
      </c>
      <c r="AO42" s="5">
        <f t="shared" si="39"/>
        <v>0</v>
      </c>
      <c r="AP42" s="5">
        <f t="shared" si="40"/>
        <v>0</v>
      </c>
      <c r="AQ42" s="5">
        <f t="shared" si="41"/>
        <v>0</v>
      </c>
      <c r="AR42" s="5">
        <f t="shared" si="42"/>
        <v>0</v>
      </c>
      <c r="AS42" s="5">
        <f t="shared" si="43"/>
        <v>0</v>
      </c>
      <c r="AT42" s="5">
        <f t="shared" si="44"/>
        <v>0</v>
      </c>
      <c r="AU42" s="5">
        <f t="shared" si="45"/>
        <v>1162.1760000000002</v>
      </c>
      <c r="AV42" s="5">
        <f t="shared" si="46"/>
        <v>0</v>
      </c>
      <c r="AW42" s="5">
        <f t="shared" si="47"/>
        <v>0</v>
      </c>
      <c r="AX42" s="5">
        <f t="shared" si="48"/>
        <v>0</v>
      </c>
      <c r="AY42" s="5">
        <f t="shared" si="49"/>
        <v>0</v>
      </c>
      <c r="AZ42" s="5">
        <f t="shared" si="50"/>
        <v>0</v>
      </c>
      <c r="BA42" s="5">
        <f t="shared" si="51"/>
        <v>0</v>
      </c>
      <c r="BB42" s="5">
        <f t="shared" si="52"/>
        <v>0</v>
      </c>
      <c r="BC42" s="5">
        <f t="shared" si="53"/>
        <v>0</v>
      </c>
      <c r="BD42" s="5">
        <f t="shared" si="54"/>
        <v>0</v>
      </c>
      <c r="BE42" s="5">
        <f t="shared" si="55"/>
        <v>0</v>
      </c>
      <c r="BF42" s="5">
        <f t="shared" si="56"/>
        <v>0</v>
      </c>
      <c r="BG42" s="5">
        <f t="shared" si="57"/>
        <v>0</v>
      </c>
      <c r="BH42" s="5">
        <f t="shared" si="58"/>
        <v>0</v>
      </c>
      <c r="BI42" s="5">
        <f t="shared" si="59"/>
        <v>0</v>
      </c>
      <c r="BJ42" s="5">
        <f t="shared" si="60"/>
        <v>0</v>
      </c>
      <c r="BK42" s="5">
        <f t="shared" si="61"/>
        <v>0</v>
      </c>
      <c r="BL42" s="5">
        <f t="shared" si="62"/>
        <v>1743.2639999999999</v>
      </c>
      <c r="BM42" s="5">
        <f t="shared" si="63"/>
        <v>0</v>
      </c>
      <c r="BN42" s="5">
        <f t="shared" si="64"/>
        <v>0</v>
      </c>
      <c r="BO42" s="12">
        <f t="shared" si="65"/>
        <v>2905.44</v>
      </c>
      <c r="BP42" s="12">
        <f t="shared" si="66"/>
        <v>0</v>
      </c>
    </row>
    <row r="43" spans="1:68">
      <c r="A43" s="1" t="s">
        <v>65</v>
      </c>
      <c r="B43" s="1">
        <v>375</v>
      </c>
      <c r="C43" s="1" t="s">
        <v>64</v>
      </c>
      <c r="D43" s="1">
        <v>375</v>
      </c>
      <c r="E43" s="1" t="s">
        <v>469</v>
      </c>
      <c r="F43" s="5">
        <v>2749.67</v>
      </c>
      <c r="G43" s="5">
        <f t="shared" si="34"/>
        <v>2749.67</v>
      </c>
      <c r="I43" s="19">
        <f t="shared" si="35"/>
        <v>2749.67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>
        <v>1</v>
      </c>
      <c r="AH43" s="18"/>
      <c r="AI43" s="18"/>
      <c r="AJ43" s="18"/>
      <c r="AK43" s="18"/>
      <c r="AL43" s="21">
        <f t="shared" si="36"/>
        <v>1</v>
      </c>
      <c r="AM43" s="5">
        <f t="shared" si="37"/>
        <v>0</v>
      </c>
      <c r="AN43" s="5">
        <f t="shared" si="38"/>
        <v>0</v>
      </c>
      <c r="AO43" s="5">
        <f t="shared" si="39"/>
        <v>0</v>
      </c>
      <c r="AP43" s="5">
        <f t="shared" si="40"/>
        <v>0</v>
      </c>
      <c r="AQ43" s="5">
        <f t="shared" si="41"/>
        <v>0</v>
      </c>
      <c r="AR43" s="5">
        <f t="shared" si="42"/>
        <v>0</v>
      </c>
      <c r="AS43" s="5">
        <f t="shared" si="43"/>
        <v>0</v>
      </c>
      <c r="AT43" s="5">
        <f t="shared" si="44"/>
        <v>0</v>
      </c>
      <c r="AU43" s="5">
        <f t="shared" si="45"/>
        <v>0</v>
      </c>
      <c r="AV43" s="5">
        <f t="shared" si="46"/>
        <v>0</v>
      </c>
      <c r="AW43" s="5">
        <f t="shared" si="47"/>
        <v>0</v>
      </c>
      <c r="AX43" s="5">
        <f t="shared" si="48"/>
        <v>0</v>
      </c>
      <c r="AY43" s="5">
        <f t="shared" si="49"/>
        <v>0</v>
      </c>
      <c r="AZ43" s="5">
        <f t="shared" si="50"/>
        <v>0</v>
      </c>
      <c r="BA43" s="5">
        <f t="shared" si="51"/>
        <v>0</v>
      </c>
      <c r="BB43" s="5">
        <f t="shared" si="52"/>
        <v>0</v>
      </c>
      <c r="BC43" s="5">
        <f t="shared" si="53"/>
        <v>0</v>
      </c>
      <c r="BD43" s="5">
        <f t="shared" si="54"/>
        <v>0</v>
      </c>
      <c r="BE43" s="5">
        <f t="shared" si="55"/>
        <v>0</v>
      </c>
      <c r="BF43" s="5">
        <f t="shared" si="56"/>
        <v>0</v>
      </c>
      <c r="BG43" s="5">
        <f t="shared" si="57"/>
        <v>0</v>
      </c>
      <c r="BH43" s="5">
        <f t="shared" si="58"/>
        <v>0</v>
      </c>
      <c r="BI43" s="5">
        <f t="shared" si="59"/>
        <v>0</v>
      </c>
      <c r="BJ43" s="5">
        <f t="shared" si="60"/>
        <v>2749.67</v>
      </c>
      <c r="BK43" s="5">
        <f t="shared" si="61"/>
        <v>0</v>
      </c>
      <c r="BL43" s="5">
        <f t="shared" si="62"/>
        <v>0</v>
      </c>
      <c r="BM43" s="5">
        <f t="shared" si="63"/>
        <v>0</v>
      </c>
      <c r="BN43" s="5">
        <f t="shared" si="64"/>
        <v>0</v>
      </c>
      <c r="BO43" s="12">
        <f t="shared" si="65"/>
        <v>2749.67</v>
      </c>
      <c r="BP43" s="12">
        <f t="shared" si="66"/>
        <v>0</v>
      </c>
    </row>
    <row r="44" spans="1:68">
      <c r="A44" s="1" t="s">
        <v>107</v>
      </c>
      <c r="B44" s="1">
        <v>375</v>
      </c>
      <c r="C44" s="1" t="s">
        <v>106</v>
      </c>
      <c r="D44" s="1">
        <v>375</v>
      </c>
      <c r="E44" s="1" t="s">
        <v>469</v>
      </c>
      <c r="F44" s="5">
        <v>2670.65</v>
      </c>
      <c r="G44" s="5">
        <f t="shared" si="34"/>
        <v>2670.65</v>
      </c>
      <c r="I44" s="19">
        <f t="shared" si="35"/>
        <v>2670.65</v>
      </c>
      <c r="J44" s="18">
        <v>0.09</v>
      </c>
      <c r="K44" s="18"/>
      <c r="L44" s="18"/>
      <c r="M44" s="18">
        <v>0.66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>
        <v>0.25</v>
      </c>
      <c r="AF44" s="18"/>
      <c r="AG44" s="18"/>
      <c r="AH44" s="18"/>
      <c r="AI44" s="18"/>
      <c r="AJ44" s="18"/>
      <c r="AK44" s="18"/>
      <c r="AL44" s="21">
        <f t="shared" si="36"/>
        <v>1</v>
      </c>
      <c r="AM44" s="5">
        <f t="shared" si="37"/>
        <v>240.35849999999999</v>
      </c>
      <c r="AN44" s="5">
        <f t="shared" si="38"/>
        <v>0</v>
      </c>
      <c r="AO44" s="5">
        <f t="shared" si="39"/>
        <v>0</v>
      </c>
      <c r="AP44" s="5">
        <f t="shared" si="40"/>
        <v>1762.6290000000001</v>
      </c>
      <c r="AQ44" s="5">
        <f t="shared" si="41"/>
        <v>0</v>
      </c>
      <c r="AR44" s="5">
        <f t="shared" si="42"/>
        <v>0</v>
      </c>
      <c r="AS44" s="5">
        <f t="shared" si="43"/>
        <v>0</v>
      </c>
      <c r="AT44" s="5">
        <f t="shared" si="44"/>
        <v>0</v>
      </c>
      <c r="AU44" s="5">
        <f t="shared" si="45"/>
        <v>0</v>
      </c>
      <c r="AV44" s="5">
        <f t="shared" si="46"/>
        <v>0</v>
      </c>
      <c r="AW44" s="5">
        <f t="shared" si="47"/>
        <v>0</v>
      </c>
      <c r="AX44" s="5">
        <f t="shared" si="48"/>
        <v>0</v>
      </c>
      <c r="AY44" s="5">
        <f t="shared" si="49"/>
        <v>0</v>
      </c>
      <c r="AZ44" s="5">
        <f t="shared" si="50"/>
        <v>0</v>
      </c>
      <c r="BA44" s="5">
        <f t="shared" si="51"/>
        <v>0</v>
      </c>
      <c r="BB44" s="5">
        <f t="shared" si="52"/>
        <v>0</v>
      </c>
      <c r="BC44" s="5">
        <f t="shared" si="53"/>
        <v>0</v>
      </c>
      <c r="BD44" s="5">
        <f t="shared" si="54"/>
        <v>0</v>
      </c>
      <c r="BE44" s="5">
        <f t="shared" si="55"/>
        <v>0</v>
      </c>
      <c r="BF44" s="5">
        <f t="shared" si="56"/>
        <v>0</v>
      </c>
      <c r="BG44" s="5">
        <f t="shared" si="57"/>
        <v>0</v>
      </c>
      <c r="BH44" s="5">
        <f t="shared" si="58"/>
        <v>667.66250000000002</v>
      </c>
      <c r="BI44" s="5">
        <f t="shared" si="59"/>
        <v>0</v>
      </c>
      <c r="BJ44" s="5">
        <f t="shared" si="60"/>
        <v>0</v>
      </c>
      <c r="BK44" s="5">
        <f t="shared" si="61"/>
        <v>0</v>
      </c>
      <c r="BL44" s="5">
        <f t="shared" si="62"/>
        <v>0</v>
      </c>
      <c r="BM44" s="5">
        <f t="shared" si="63"/>
        <v>0</v>
      </c>
      <c r="BN44" s="5">
        <f t="shared" si="64"/>
        <v>0</v>
      </c>
      <c r="BO44" s="12">
        <f t="shared" si="65"/>
        <v>2670.65</v>
      </c>
      <c r="BP44" s="12">
        <f t="shared" si="66"/>
        <v>0</v>
      </c>
    </row>
    <row r="45" spans="1:68">
      <c r="A45" s="1" t="s">
        <v>27</v>
      </c>
      <c r="B45" s="1">
        <v>375</v>
      </c>
      <c r="C45" s="1" t="s">
        <v>26</v>
      </c>
      <c r="D45" s="1">
        <v>375</v>
      </c>
      <c r="E45" s="1" t="s">
        <v>469</v>
      </c>
      <c r="F45" s="5">
        <v>2639.59</v>
      </c>
      <c r="G45" s="5">
        <f t="shared" si="34"/>
        <v>2639.59</v>
      </c>
      <c r="I45" s="19">
        <f t="shared" si="35"/>
        <v>2639.59</v>
      </c>
      <c r="J45" s="18"/>
      <c r="K45" s="18"/>
      <c r="L45" s="18">
        <v>1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1">
        <f t="shared" si="36"/>
        <v>1</v>
      </c>
      <c r="AM45" s="5">
        <f t="shared" si="37"/>
        <v>0</v>
      </c>
      <c r="AN45" s="5">
        <f t="shared" si="38"/>
        <v>0</v>
      </c>
      <c r="AO45" s="5">
        <f t="shared" si="39"/>
        <v>2639.59</v>
      </c>
      <c r="AP45" s="5">
        <f t="shared" si="40"/>
        <v>0</v>
      </c>
      <c r="AQ45" s="5">
        <f t="shared" si="41"/>
        <v>0</v>
      </c>
      <c r="AR45" s="5">
        <f t="shared" si="42"/>
        <v>0</v>
      </c>
      <c r="AS45" s="5">
        <f t="shared" si="43"/>
        <v>0</v>
      </c>
      <c r="AT45" s="5">
        <f t="shared" si="44"/>
        <v>0</v>
      </c>
      <c r="AU45" s="5">
        <f t="shared" si="45"/>
        <v>0</v>
      </c>
      <c r="AV45" s="5">
        <f t="shared" si="46"/>
        <v>0</v>
      </c>
      <c r="AW45" s="5">
        <f t="shared" si="47"/>
        <v>0</v>
      </c>
      <c r="AX45" s="5">
        <f t="shared" si="48"/>
        <v>0</v>
      </c>
      <c r="AY45" s="5">
        <f t="shared" si="49"/>
        <v>0</v>
      </c>
      <c r="AZ45" s="5">
        <f t="shared" si="50"/>
        <v>0</v>
      </c>
      <c r="BA45" s="5">
        <f t="shared" si="51"/>
        <v>0</v>
      </c>
      <c r="BB45" s="5">
        <f t="shared" si="52"/>
        <v>0</v>
      </c>
      <c r="BC45" s="5">
        <f t="shared" si="53"/>
        <v>0</v>
      </c>
      <c r="BD45" s="5">
        <f t="shared" si="54"/>
        <v>0</v>
      </c>
      <c r="BE45" s="5">
        <f t="shared" si="55"/>
        <v>0</v>
      </c>
      <c r="BF45" s="5">
        <f t="shared" si="56"/>
        <v>0</v>
      </c>
      <c r="BG45" s="5">
        <f t="shared" si="57"/>
        <v>0</v>
      </c>
      <c r="BH45" s="5">
        <f t="shared" si="58"/>
        <v>0</v>
      </c>
      <c r="BI45" s="5">
        <f t="shared" si="59"/>
        <v>0</v>
      </c>
      <c r="BJ45" s="5">
        <f t="shared" si="60"/>
        <v>0</v>
      </c>
      <c r="BK45" s="5">
        <f t="shared" si="61"/>
        <v>0</v>
      </c>
      <c r="BL45" s="5">
        <f t="shared" si="62"/>
        <v>0</v>
      </c>
      <c r="BM45" s="5">
        <f t="shared" si="63"/>
        <v>0</v>
      </c>
      <c r="BN45" s="5">
        <f t="shared" si="64"/>
        <v>0</v>
      </c>
      <c r="BO45" s="12">
        <f t="shared" si="65"/>
        <v>2639.59</v>
      </c>
      <c r="BP45" s="12">
        <f t="shared" si="66"/>
        <v>0</v>
      </c>
    </row>
    <row r="46" spans="1:68">
      <c r="A46" s="1" t="s">
        <v>33</v>
      </c>
      <c r="B46" s="1">
        <v>375</v>
      </c>
      <c r="C46" s="1" t="s">
        <v>32</v>
      </c>
      <c r="D46" s="1">
        <v>375</v>
      </c>
      <c r="E46" s="1" t="s">
        <v>469</v>
      </c>
      <c r="F46" s="5">
        <v>2593.6999999999998</v>
      </c>
      <c r="G46" s="5">
        <f t="shared" si="34"/>
        <v>2593.6999999999998</v>
      </c>
      <c r="I46" s="19">
        <f t="shared" si="35"/>
        <v>2593.6999999999998</v>
      </c>
      <c r="J46" s="18"/>
      <c r="K46" s="18">
        <v>1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1">
        <f t="shared" si="36"/>
        <v>1</v>
      </c>
      <c r="AM46" s="5">
        <f t="shared" si="37"/>
        <v>0</v>
      </c>
      <c r="AN46" s="5">
        <f t="shared" si="38"/>
        <v>2593.6999999999998</v>
      </c>
      <c r="AO46" s="5">
        <f t="shared" si="39"/>
        <v>0</v>
      </c>
      <c r="AP46" s="5">
        <f t="shared" si="40"/>
        <v>0</v>
      </c>
      <c r="AQ46" s="5">
        <f t="shared" si="41"/>
        <v>0</v>
      </c>
      <c r="AR46" s="5">
        <f t="shared" si="42"/>
        <v>0</v>
      </c>
      <c r="AS46" s="5">
        <f t="shared" si="43"/>
        <v>0</v>
      </c>
      <c r="AT46" s="5">
        <f t="shared" si="44"/>
        <v>0</v>
      </c>
      <c r="AU46" s="5">
        <f t="shared" si="45"/>
        <v>0</v>
      </c>
      <c r="AV46" s="5">
        <f t="shared" si="46"/>
        <v>0</v>
      </c>
      <c r="AW46" s="5">
        <f t="shared" si="47"/>
        <v>0</v>
      </c>
      <c r="AX46" s="5">
        <f t="shared" si="48"/>
        <v>0</v>
      </c>
      <c r="AY46" s="5">
        <f t="shared" si="49"/>
        <v>0</v>
      </c>
      <c r="AZ46" s="5">
        <f t="shared" si="50"/>
        <v>0</v>
      </c>
      <c r="BA46" s="5">
        <f t="shared" si="51"/>
        <v>0</v>
      </c>
      <c r="BB46" s="5">
        <f t="shared" si="52"/>
        <v>0</v>
      </c>
      <c r="BC46" s="5">
        <f t="shared" si="53"/>
        <v>0</v>
      </c>
      <c r="BD46" s="5">
        <f t="shared" si="54"/>
        <v>0</v>
      </c>
      <c r="BE46" s="5">
        <f t="shared" si="55"/>
        <v>0</v>
      </c>
      <c r="BF46" s="5">
        <f t="shared" si="56"/>
        <v>0</v>
      </c>
      <c r="BG46" s="5">
        <f t="shared" si="57"/>
        <v>0</v>
      </c>
      <c r="BH46" s="5">
        <f t="shared" si="58"/>
        <v>0</v>
      </c>
      <c r="BI46" s="5">
        <f t="shared" si="59"/>
        <v>0</v>
      </c>
      <c r="BJ46" s="5">
        <f t="shared" si="60"/>
        <v>0</v>
      </c>
      <c r="BK46" s="5">
        <f t="shared" si="61"/>
        <v>0</v>
      </c>
      <c r="BL46" s="5">
        <f t="shared" si="62"/>
        <v>0</v>
      </c>
      <c r="BM46" s="5">
        <f t="shared" si="63"/>
        <v>0</v>
      </c>
      <c r="BN46" s="5">
        <f t="shared" si="64"/>
        <v>0</v>
      </c>
      <c r="BO46" s="12">
        <f t="shared" si="65"/>
        <v>2593.6999999999998</v>
      </c>
      <c r="BP46" s="12">
        <f t="shared" si="66"/>
        <v>0</v>
      </c>
    </row>
    <row r="47" spans="1:68">
      <c r="A47" s="1" t="s">
        <v>49</v>
      </c>
      <c r="B47" s="1">
        <v>375</v>
      </c>
      <c r="C47" s="1" t="s">
        <v>48</v>
      </c>
      <c r="D47" s="1">
        <v>375</v>
      </c>
      <c r="E47" s="1" t="s">
        <v>469</v>
      </c>
      <c r="F47" s="5">
        <v>2565.98</v>
      </c>
      <c r="G47" s="5">
        <f t="shared" si="34"/>
        <v>2565.98</v>
      </c>
      <c r="I47" s="19">
        <f t="shared" si="35"/>
        <v>2565.98</v>
      </c>
      <c r="J47" s="18"/>
      <c r="K47" s="18"/>
      <c r="L47" s="18">
        <v>1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1">
        <f t="shared" si="36"/>
        <v>1</v>
      </c>
      <c r="AM47" s="5">
        <f t="shared" si="37"/>
        <v>0</v>
      </c>
      <c r="AN47" s="5">
        <f t="shared" si="38"/>
        <v>0</v>
      </c>
      <c r="AO47" s="5">
        <f t="shared" si="39"/>
        <v>2565.98</v>
      </c>
      <c r="AP47" s="5">
        <f t="shared" si="40"/>
        <v>0</v>
      </c>
      <c r="AQ47" s="5">
        <f t="shared" si="41"/>
        <v>0</v>
      </c>
      <c r="AR47" s="5">
        <f t="shared" si="42"/>
        <v>0</v>
      </c>
      <c r="AS47" s="5">
        <f t="shared" si="43"/>
        <v>0</v>
      </c>
      <c r="AT47" s="5">
        <f t="shared" si="44"/>
        <v>0</v>
      </c>
      <c r="AU47" s="5">
        <f t="shared" si="45"/>
        <v>0</v>
      </c>
      <c r="AV47" s="5">
        <f t="shared" si="46"/>
        <v>0</v>
      </c>
      <c r="AW47" s="5">
        <f t="shared" si="47"/>
        <v>0</v>
      </c>
      <c r="AX47" s="5">
        <f t="shared" si="48"/>
        <v>0</v>
      </c>
      <c r="AY47" s="5">
        <f t="shared" si="49"/>
        <v>0</v>
      </c>
      <c r="AZ47" s="5">
        <f t="shared" si="50"/>
        <v>0</v>
      </c>
      <c r="BA47" s="5">
        <f t="shared" si="51"/>
        <v>0</v>
      </c>
      <c r="BB47" s="5">
        <f t="shared" si="52"/>
        <v>0</v>
      </c>
      <c r="BC47" s="5">
        <f t="shared" si="53"/>
        <v>0</v>
      </c>
      <c r="BD47" s="5">
        <f t="shared" si="54"/>
        <v>0</v>
      </c>
      <c r="BE47" s="5">
        <f t="shared" si="55"/>
        <v>0</v>
      </c>
      <c r="BF47" s="5">
        <f t="shared" si="56"/>
        <v>0</v>
      </c>
      <c r="BG47" s="5">
        <f t="shared" si="57"/>
        <v>0</v>
      </c>
      <c r="BH47" s="5">
        <f t="shared" si="58"/>
        <v>0</v>
      </c>
      <c r="BI47" s="5">
        <f t="shared" si="59"/>
        <v>0</v>
      </c>
      <c r="BJ47" s="5">
        <f t="shared" si="60"/>
        <v>0</v>
      </c>
      <c r="BK47" s="5">
        <f t="shared" si="61"/>
        <v>0</v>
      </c>
      <c r="BL47" s="5">
        <f t="shared" si="62"/>
        <v>0</v>
      </c>
      <c r="BM47" s="5">
        <f t="shared" si="63"/>
        <v>0</v>
      </c>
      <c r="BN47" s="5">
        <f t="shared" si="64"/>
        <v>0</v>
      </c>
      <c r="BO47" s="12">
        <f t="shared" si="65"/>
        <v>2565.98</v>
      </c>
      <c r="BP47" s="12">
        <f t="shared" si="66"/>
        <v>0</v>
      </c>
    </row>
    <row r="48" spans="1:68">
      <c r="A48" s="1" t="s">
        <v>67</v>
      </c>
      <c r="B48" s="1">
        <v>375</v>
      </c>
      <c r="C48" s="1" t="s">
        <v>66</v>
      </c>
      <c r="D48" s="1">
        <v>375</v>
      </c>
      <c r="E48" s="1" t="s">
        <v>469</v>
      </c>
      <c r="F48" s="5">
        <v>2565.98</v>
      </c>
      <c r="G48" s="5">
        <f t="shared" si="34"/>
        <v>2565.98</v>
      </c>
      <c r="I48" s="19">
        <f t="shared" si="35"/>
        <v>2565.98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>
        <v>0.25</v>
      </c>
      <c r="AA48" s="18"/>
      <c r="AB48" s="18">
        <v>0.75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21">
        <f t="shared" si="36"/>
        <v>1</v>
      </c>
      <c r="AM48" s="5">
        <f t="shared" si="37"/>
        <v>0</v>
      </c>
      <c r="AN48" s="5">
        <f t="shared" si="38"/>
        <v>0</v>
      </c>
      <c r="AO48" s="5">
        <f t="shared" si="39"/>
        <v>0</v>
      </c>
      <c r="AP48" s="5">
        <f t="shared" si="40"/>
        <v>0</v>
      </c>
      <c r="AQ48" s="5">
        <f t="shared" si="41"/>
        <v>0</v>
      </c>
      <c r="AR48" s="5">
        <f t="shared" si="42"/>
        <v>0</v>
      </c>
      <c r="AS48" s="5">
        <f t="shared" si="43"/>
        <v>0</v>
      </c>
      <c r="AT48" s="5">
        <f t="shared" si="44"/>
        <v>0</v>
      </c>
      <c r="AU48" s="5">
        <f t="shared" si="45"/>
        <v>0</v>
      </c>
      <c r="AV48" s="5">
        <f t="shared" si="46"/>
        <v>0</v>
      </c>
      <c r="AW48" s="5">
        <f t="shared" si="47"/>
        <v>0</v>
      </c>
      <c r="AX48" s="5">
        <f t="shared" si="48"/>
        <v>0</v>
      </c>
      <c r="AY48" s="5">
        <f t="shared" si="49"/>
        <v>0</v>
      </c>
      <c r="AZ48" s="5">
        <f t="shared" si="50"/>
        <v>0</v>
      </c>
      <c r="BA48" s="5">
        <f t="shared" si="51"/>
        <v>0</v>
      </c>
      <c r="BB48" s="5">
        <f t="shared" si="52"/>
        <v>0</v>
      </c>
      <c r="BC48" s="5">
        <f t="shared" si="53"/>
        <v>641.495</v>
      </c>
      <c r="BD48" s="5">
        <f t="shared" si="54"/>
        <v>0</v>
      </c>
      <c r="BE48" s="5">
        <f t="shared" si="55"/>
        <v>1924.4850000000001</v>
      </c>
      <c r="BF48" s="5">
        <f t="shared" si="56"/>
        <v>0</v>
      </c>
      <c r="BG48" s="5">
        <f t="shared" si="57"/>
        <v>0</v>
      </c>
      <c r="BH48" s="5">
        <f t="shared" si="58"/>
        <v>0</v>
      </c>
      <c r="BI48" s="5">
        <f t="shared" si="59"/>
        <v>0</v>
      </c>
      <c r="BJ48" s="5">
        <f t="shared" si="60"/>
        <v>0</v>
      </c>
      <c r="BK48" s="5">
        <f t="shared" si="61"/>
        <v>0</v>
      </c>
      <c r="BL48" s="5">
        <f t="shared" si="62"/>
        <v>0</v>
      </c>
      <c r="BM48" s="5">
        <f t="shared" si="63"/>
        <v>0</v>
      </c>
      <c r="BN48" s="5">
        <f t="shared" si="64"/>
        <v>0</v>
      </c>
      <c r="BO48" s="12">
        <f t="shared" si="65"/>
        <v>2565.98</v>
      </c>
      <c r="BP48" s="12">
        <f t="shared" si="66"/>
        <v>0</v>
      </c>
    </row>
    <row r="49" spans="1:68">
      <c r="A49" s="1" t="s">
        <v>51</v>
      </c>
      <c r="B49" s="1">
        <v>375</v>
      </c>
      <c r="C49" s="1" t="s">
        <v>50</v>
      </c>
      <c r="D49" s="1">
        <v>375</v>
      </c>
      <c r="E49" s="1" t="s">
        <v>469</v>
      </c>
      <c r="F49" s="5">
        <v>2518.44</v>
      </c>
      <c r="G49" s="5">
        <f t="shared" si="34"/>
        <v>2518.44</v>
      </c>
      <c r="I49" s="19">
        <f t="shared" si="35"/>
        <v>2518.44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>
        <v>0.5</v>
      </c>
      <c r="AB49" s="23"/>
      <c r="AC49" s="23">
        <v>0.5</v>
      </c>
      <c r="AD49" s="23"/>
      <c r="AE49" s="23"/>
      <c r="AF49" s="23"/>
      <c r="AG49" s="23"/>
      <c r="AH49" s="23"/>
      <c r="AI49" s="23"/>
      <c r="AJ49" s="23"/>
      <c r="AK49" s="23"/>
      <c r="AL49" s="21">
        <f t="shared" si="36"/>
        <v>1</v>
      </c>
      <c r="AM49" s="5">
        <f t="shared" si="37"/>
        <v>0</v>
      </c>
      <c r="AN49" s="5">
        <f t="shared" si="38"/>
        <v>0</v>
      </c>
      <c r="AO49" s="5">
        <f t="shared" si="39"/>
        <v>0</v>
      </c>
      <c r="AP49" s="5">
        <f t="shared" si="40"/>
        <v>0</v>
      </c>
      <c r="AQ49" s="5">
        <f t="shared" si="41"/>
        <v>0</v>
      </c>
      <c r="AR49" s="5">
        <f t="shared" si="42"/>
        <v>0</v>
      </c>
      <c r="AS49" s="5">
        <f t="shared" si="43"/>
        <v>0</v>
      </c>
      <c r="AT49" s="5">
        <f t="shared" si="44"/>
        <v>0</v>
      </c>
      <c r="AU49" s="5">
        <f t="shared" si="45"/>
        <v>0</v>
      </c>
      <c r="AV49" s="5">
        <f t="shared" si="46"/>
        <v>0</v>
      </c>
      <c r="AW49" s="5">
        <f t="shared" si="47"/>
        <v>0</v>
      </c>
      <c r="AX49" s="5">
        <f t="shared" si="48"/>
        <v>0</v>
      </c>
      <c r="AY49" s="5">
        <f t="shared" si="49"/>
        <v>0</v>
      </c>
      <c r="AZ49" s="5">
        <f t="shared" si="50"/>
        <v>0</v>
      </c>
      <c r="BA49" s="5">
        <f t="shared" si="51"/>
        <v>0</v>
      </c>
      <c r="BB49" s="5">
        <f t="shared" si="52"/>
        <v>0</v>
      </c>
      <c r="BC49" s="5">
        <f t="shared" si="53"/>
        <v>0</v>
      </c>
      <c r="BD49" s="5">
        <f t="shared" si="54"/>
        <v>1259.22</v>
      </c>
      <c r="BE49" s="5">
        <f t="shared" si="55"/>
        <v>0</v>
      </c>
      <c r="BF49" s="5">
        <f t="shared" si="56"/>
        <v>1259.22</v>
      </c>
      <c r="BG49" s="5">
        <f t="shared" si="57"/>
        <v>0</v>
      </c>
      <c r="BH49" s="5">
        <f t="shared" si="58"/>
        <v>0</v>
      </c>
      <c r="BI49" s="5">
        <f t="shared" si="59"/>
        <v>0</v>
      </c>
      <c r="BJ49" s="5">
        <f t="shared" si="60"/>
        <v>0</v>
      </c>
      <c r="BK49" s="5">
        <f t="shared" si="61"/>
        <v>0</v>
      </c>
      <c r="BL49" s="5">
        <f t="shared" si="62"/>
        <v>0</v>
      </c>
      <c r="BM49" s="5">
        <f t="shared" si="63"/>
        <v>0</v>
      </c>
      <c r="BN49" s="5">
        <f t="shared" si="64"/>
        <v>0</v>
      </c>
      <c r="BO49" s="12">
        <f t="shared" si="65"/>
        <v>2518.44</v>
      </c>
      <c r="BP49" s="12">
        <f t="shared" si="66"/>
        <v>0</v>
      </c>
    </row>
    <row r="50" spans="1:68">
      <c r="A50" s="1" t="s">
        <v>71</v>
      </c>
      <c r="B50" s="1">
        <v>375</v>
      </c>
      <c r="C50" s="1" t="s">
        <v>70</v>
      </c>
      <c r="D50" s="1">
        <v>375</v>
      </c>
      <c r="E50" s="1" t="s">
        <v>469</v>
      </c>
      <c r="F50" s="5">
        <v>2493.71</v>
      </c>
      <c r="G50" s="5">
        <f t="shared" si="34"/>
        <v>2493.71</v>
      </c>
      <c r="I50" s="19">
        <f t="shared" si="35"/>
        <v>2493.71</v>
      </c>
      <c r="J50" s="18"/>
      <c r="K50" s="18"/>
      <c r="L50" s="18">
        <v>1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1">
        <f t="shared" si="36"/>
        <v>1</v>
      </c>
      <c r="AM50" s="5">
        <f t="shared" si="37"/>
        <v>0</v>
      </c>
      <c r="AN50" s="5">
        <f t="shared" si="38"/>
        <v>0</v>
      </c>
      <c r="AO50" s="5">
        <f t="shared" si="39"/>
        <v>2493.71</v>
      </c>
      <c r="AP50" s="5">
        <f t="shared" si="40"/>
        <v>0</v>
      </c>
      <c r="AQ50" s="5">
        <f t="shared" si="41"/>
        <v>0</v>
      </c>
      <c r="AR50" s="5">
        <f t="shared" si="42"/>
        <v>0</v>
      </c>
      <c r="AS50" s="5">
        <f t="shared" si="43"/>
        <v>0</v>
      </c>
      <c r="AT50" s="5">
        <f t="shared" si="44"/>
        <v>0</v>
      </c>
      <c r="AU50" s="5">
        <f t="shared" si="45"/>
        <v>0</v>
      </c>
      <c r="AV50" s="5">
        <f t="shared" si="46"/>
        <v>0</v>
      </c>
      <c r="AW50" s="5">
        <f t="shared" si="47"/>
        <v>0</v>
      </c>
      <c r="AX50" s="5">
        <f t="shared" si="48"/>
        <v>0</v>
      </c>
      <c r="AY50" s="5">
        <f t="shared" si="49"/>
        <v>0</v>
      </c>
      <c r="AZ50" s="5">
        <f t="shared" si="50"/>
        <v>0</v>
      </c>
      <c r="BA50" s="5">
        <f t="shared" si="51"/>
        <v>0</v>
      </c>
      <c r="BB50" s="5">
        <f t="shared" si="52"/>
        <v>0</v>
      </c>
      <c r="BC50" s="5">
        <f t="shared" si="53"/>
        <v>0</v>
      </c>
      <c r="BD50" s="5">
        <f t="shared" si="54"/>
        <v>0</v>
      </c>
      <c r="BE50" s="5">
        <f t="shared" si="55"/>
        <v>0</v>
      </c>
      <c r="BF50" s="5">
        <f t="shared" si="56"/>
        <v>0</v>
      </c>
      <c r="BG50" s="5">
        <f t="shared" si="57"/>
        <v>0</v>
      </c>
      <c r="BH50" s="5">
        <f t="shared" si="58"/>
        <v>0</v>
      </c>
      <c r="BI50" s="5">
        <f t="shared" si="59"/>
        <v>0</v>
      </c>
      <c r="BJ50" s="5">
        <f t="shared" si="60"/>
        <v>0</v>
      </c>
      <c r="BK50" s="5">
        <f t="shared" si="61"/>
        <v>0</v>
      </c>
      <c r="BL50" s="5">
        <f t="shared" si="62"/>
        <v>0</v>
      </c>
      <c r="BM50" s="5">
        <f t="shared" si="63"/>
        <v>0</v>
      </c>
      <c r="BN50" s="5">
        <f t="shared" si="64"/>
        <v>0</v>
      </c>
      <c r="BO50" s="12">
        <f t="shared" si="65"/>
        <v>2493.71</v>
      </c>
      <c r="BP50" s="12">
        <f t="shared" si="66"/>
        <v>0</v>
      </c>
    </row>
    <row r="51" spans="1:68">
      <c r="A51" s="1" t="s">
        <v>69</v>
      </c>
      <c r="B51" s="1">
        <v>375</v>
      </c>
      <c r="C51" s="1" t="s">
        <v>68</v>
      </c>
      <c r="D51" s="1">
        <v>375</v>
      </c>
      <c r="E51" s="1" t="s">
        <v>469</v>
      </c>
      <c r="F51" s="5">
        <v>2468.71</v>
      </c>
      <c r="G51" s="5">
        <f t="shared" si="34"/>
        <v>2468.71</v>
      </c>
      <c r="I51" s="19">
        <f t="shared" si="35"/>
        <v>2468.71</v>
      </c>
      <c r="J51" s="18">
        <v>0.02</v>
      </c>
      <c r="K51" s="18"/>
      <c r="L51" s="18"/>
      <c r="M51" s="18">
        <v>0.02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>
        <v>0.96</v>
      </c>
      <c r="AF51" s="18"/>
      <c r="AG51" s="18"/>
      <c r="AH51" s="18"/>
      <c r="AI51" s="18"/>
      <c r="AJ51" s="18"/>
      <c r="AK51" s="18"/>
      <c r="AL51" s="21">
        <f t="shared" si="36"/>
        <v>1</v>
      </c>
      <c r="AM51" s="5">
        <f t="shared" si="37"/>
        <v>49.374200000000002</v>
      </c>
      <c r="AN51" s="5">
        <f t="shared" si="38"/>
        <v>0</v>
      </c>
      <c r="AO51" s="5">
        <f t="shared" si="39"/>
        <v>0</v>
      </c>
      <c r="AP51" s="5">
        <f t="shared" si="40"/>
        <v>49.374200000000002</v>
      </c>
      <c r="AQ51" s="5">
        <f t="shared" si="41"/>
        <v>0</v>
      </c>
      <c r="AR51" s="5">
        <f t="shared" si="42"/>
        <v>0</v>
      </c>
      <c r="AS51" s="5">
        <f t="shared" si="43"/>
        <v>0</v>
      </c>
      <c r="AT51" s="5">
        <f t="shared" si="44"/>
        <v>0</v>
      </c>
      <c r="AU51" s="5">
        <f t="shared" si="45"/>
        <v>0</v>
      </c>
      <c r="AV51" s="5">
        <f t="shared" si="46"/>
        <v>0</v>
      </c>
      <c r="AW51" s="5">
        <f t="shared" si="47"/>
        <v>0</v>
      </c>
      <c r="AX51" s="5">
        <f t="shared" si="48"/>
        <v>0</v>
      </c>
      <c r="AY51" s="5">
        <f t="shared" si="49"/>
        <v>0</v>
      </c>
      <c r="AZ51" s="5">
        <f t="shared" si="50"/>
        <v>0</v>
      </c>
      <c r="BA51" s="5">
        <f t="shared" si="51"/>
        <v>0</v>
      </c>
      <c r="BB51" s="5">
        <f t="shared" si="52"/>
        <v>0</v>
      </c>
      <c r="BC51" s="5">
        <f t="shared" si="53"/>
        <v>0</v>
      </c>
      <c r="BD51" s="5">
        <f t="shared" si="54"/>
        <v>0</v>
      </c>
      <c r="BE51" s="5">
        <f t="shared" si="55"/>
        <v>0</v>
      </c>
      <c r="BF51" s="5">
        <f t="shared" si="56"/>
        <v>0</v>
      </c>
      <c r="BG51" s="5">
        <f t="shared" si="57"/>
        <v>0</v>
      </c>
      <c r="BH51" s="5">
        <f t="shared" si="58"/>
        <v>2369.9616000000001</v>
      </c>
      <c r="BI51" s="5">
        <f t="shared" si="59"/>
        <v>0</v>
      </c>
      <c r="BJ51" s="5">
        <f t="shared" si="60"/>
        <v>0</v>
      </c>
      <c r="BK51" s="5">
        <f t="shared" si="61"/>
        <v>0</v>
      </c>
      <c r="BL51" s="5">
        <f t="shared" si="62"/>
        <v>0</v>
      </c>
      <c r="BM51" s="5">
        <f t="shared" si="63"/>
        <v>0</v>
      </c>
      <c r="BN51" s="5">
        <f t="shared" si="64"/>
        <v>0</v>
      </c>
      <c r="BO51" s="12">
        <f t="shared" si="65"/>
        <v>2468.71</v>
      </c>
      <c r="BP51" s="12">
        <f t="shared" si="66"/>
        <v>0</v>
      </c>
    </row>
    <row r="52" spans="1:68">
      <c r="A52" s="1" t="s">
        <v>75</v>
      </c>
      <c r="B52" s="1">
        <v>375</v>
      </c>
      <c r="C52" s="1" t="s">
        <v>74</v>
      </c>
      <c r="D52" s="1">
        <v>375</v>
      </c>
      <c r="E52" s="1" t="s">
        <v>469</v>
      </c>
      <c r="F52" s="5">
        <v>2354.29</v>
      </c>
      <c r="G52" s="5">
        <f t="shared" si="34"/>
        <v>2354.29</v>
      </c>
      <c r="I52" s="19">
        <f t="shared" si="35"/>
        <v>2354.29</v>
      </c>
      <c r="J52" s="18"/>
      <c r="K52" s="18"/>
      <c r="L52" s="18">
        <v>1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1">
        <f t="shared" si="36"/>
        <v>1</v>
      </c>
      <c r="AM52" s="5">
        <f t="shared" si="37"/>
        <v>0</v>
      </c>
      <c r="AN52" s="5">
        <f t="shared" si="38"/>
        <v>0</v>
      </c>
      <c r="AO52" s="5">
        <f t="shared" si="39"/>
        <v>2354.29</v>
      </c>
      <c r="AP52" s="5">
        <f t="shared" si="40"/>
        <v>0</v>
      </c>
      <c r="AQ52" s="5">
        <f t="shared" si="41"/>
        <v>0</v>
      </c>
      <c r="AR52" s="5">
        <f t="shared" si="42"/>
        <v>0</v>
      </c>
      <c r="AS52" s="5">
        <f t="shared" si="43"/>
        <v>0</v>
      </c>
      <c r="AT52" s="5">
        <f t="shared" si="44"/>
        <v>0</v>
      </c>
      <c r="AU52" s="5">
        <f t="shared" si="45"/>
        <v>0</v>
      </c>
      <c r="AV52" s="5">
        <f t="shared" si="46"/>
        <v>0</v>
      </c>
      <c r="AW52" s="5">
        <f t="shared" si="47"/>
        <v>0</v>
      </c>
      <c r="AX52" s="5">
        <f t="shared" si="48"/>
        <v>0</v>
      </c>
      <c r="AY52" s="5">
        <f t="shared" si="49"/>
        <v>0</v>
      </c>
      <c r="AZ52" s="5">
        <f t="shared" si="50"/>
        <v>0</v>
      </c>
      <c r="BA52" s="5">
        <f t="shared" si="51"/>
        <v>0</v>
      </c>
      <c r="BB52" s="5">
        <f t="shared" si="52"/>
        <v>0</v>
      </c>
      <c r="BC52" s="5">
        <f t="shared" si="53"/>
        <v>0</v>
      </c>
      <c r="BD52" s="5">
        <f t="shared" si="54"/>
        <v>0</v>
      </c>
      <c r="BE52" s="5">
        <f t="shared" si="55"/>
        <v>0</v>
      </c>
      <c r="BF52" s="5">
        <f t="shared" si="56"/>
        <v>0</v>
      </c>
      <c r="BG52" s="5">
        <f t="shared" si="57"/>
        <v>0</v>
      </c>
      <c r="BH52" s="5">
        <f t="shared" si="58"/>
        <v>0</v>
      </c>
      <c r="BI52" s="5">
        <f t="shared" si="59"/>
        <v>0</v>
      </c>
      <c r="BJ52" s="5">
        <f t="shared" si="60"/>
        <v>0</v>
      </c>
      <c r="BK52" s="5">
        <f t="shared" si="61"/>
        <v>0</v>
      </c>
      <c r="BL52" s="5">
        <f t="shared" si="62"/>
        <v>0</v>
      </c>
      <c r="BM52" s="5">
        <f t="shared" si="63"/>
        <v>0</v>
      </c>
      <c r="BN52" s="5">
        <f t="shared" si="64"/>
        <v>0</v>
      </c>
      <c r="BO52" s="12">
        <f t="shared" si="65"/>
        <v>2354.29</v>
      </c>
      <c r="BP52" s="12">
        <f t="shared" si="66"/>
        <v>0</v>
      </c>
    </row>
    <row r="53" spans="1:68">
      <c r="A53" s="1" t="s">
        <v>5</v>
      </c>
      <c r="B53" s="1">
        <v>375</v>
      </c>
      <c r="C53" s="1" t="s">
        <v>4</v>
      </c>
      <c r="D53" s="1">
        <v>375</v>
      </c>
      <c r="E53" s="1" t="s">
        <v>469</v>
      </c>
      <c r="F53" s="5">
        <v>2176.08</v>
      </c>
      <c r="G53" s="5">
        <f t="shared" si="34"/>
        <v>2176.08</v>
      </c>
      <c r="I53" s="19">
        <f t="shared" si="35"/>
        <v>2176.08</v>
      </c>
      <c r="J53" s="18"/>
      <c r="K53" s="18"/>
      <c r="L53" s="18">
        <v>1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1">
        <f t="shared" si="36"/>
        <v>1</v>
      </c>
      <c r="AM53" s="5">
        <f t="shared" si="37"/>
        <v>0</v>
      </c>
      <c r="AN53" s="5">
        <f t="shared" si="38"/>
        <v>0</v>
      </c>
      <c r="AO53" s="5">
        <f t="shared" si="39"/>
        <v>2176.08</v>
      </c>
      <c r="AP53" s="5">
        <f t="shared" si="40"/>
        <v>0</v>
      </c>
      <c r="AQ53" s="5">
        <f t="shared" si="41"/>
        <v>0</v>
      </c>
      <c r="AR53" s="5">
        <f t="shared" si="42"/>
        <v>0</v>
      </c>
      <c r="AS53" s="5">
        <f t="shared" si="43"/>
        <v>0</v>
      </c>
      <c r="AT53" s="5">
        <f t="shared" si="44"/>
        <v>0</v>
      </c>
      <c r="AU53" s="5">
        <f t="shared" si="45"/>
        <v>0</v>
      </c>
      <c r="AV53" s="5">
        <f t="shared" si="46"/>
        <v>0</v>
      </c>
      <c r="AW53" s="5">
        <f t="shared" si="47"/>
        <v>0</v>
      </c>
      <c r="AX53" s="5">
        <f t="shared" si="48"/>
        <v>0</v>
      </c>
      <c r="AY53" s="5">
        <f t="shared" si="49"/>
        <v>0</v>
      </c>
      <c r="AZ53" s="5">
        <f t="shared" si="50"/>
        <v>0</v>
      </c>
      <c r="BA53" s="5">
        <f t="shared" si="51"/>
        <v>0</v>
      </c>
      <c r="BB53" s="5">
        <f t="shared" si="52"/>
        <v>0</v>
      </c>
      <c r="BC53" s="5">
        <f t="shared" si="53"/>
        <v>0</v>
      </c>
      <c r="BD53" s="5">
        <f t="shared" si="54"/>
        <v>0</v>
      </c>
      <c r="BE53" s="5">
        <f t="shared" si="55"/>
        <v>0</v>
      </c>
      <c r="BF53" s="5">
        <f t="shared" si="56"/>
        <v>0</v>
      </c>
      <c r="BG53" s="5">
        <f t="shared" si="57"/>
        <v>0</v>
      </c>
      <c r="BH53" s="5">
        <f t="shared" si="58"/>
        <v>0</v>
      </c>
      <c r="BI53" s="5">
        <f t="shared" si="59"/>
        <v>0</v>
      </c>
      <c r="BJ53" s="5">
        <f t="shared" si="60"/>
        <v>0</v>
      </c>
      <c r="BK53" s="5">
        <f t="shared" si="61"/>
        <v>0</v>
      </c>
      <c r="BL53" s="5">
        <f t="shared" si="62"/>
        <v>0</v>
      </c>
      <c r="BM53" s="5">
        <f t="shared" si="63"/>
        <v>0</v>
      </c>
      <c r="BN53" s="5">
        <f t="shared" si="64"/>
        <v>0</v>
      </c>
      <c r="BO53" s="12">
        <f t="shared" si="65"/>
        <v>2176.08</v>
      </c>
      <c r="BP53" s="12">
        <f t="shared" si="66"/>
        <v>0</v>
      </c>
    </row>
    <row r="54" spans="1:68" s="4" customFormat="1">
      <c r="A54" s="14" t="s">
        <v>83</v>
      </c>
      <c r="B54" s="14">
        <v>375</v>
      </c>
      <c r="C54" s="14" t="s">
        <v>82</v>
      </c>
      <c r="D54" s="14">
        <v>375</v>
      </c>
      <c r="E54" s="14" t="s">
        <v>469</v>
      </c>
      <c r="F54" s="6">
        <v>1812.99</v>
      </c>
      <c r="G54" s="6">
        <f t="shared" si="34"/>
        <v>1812.99</v>
      </c>
      <c r="H54" s="6"/>
      <c r="I54" s="33">
        <f t="shared" si="35"/>
        <v>1812.99</v>
      </c>
      <c r="J54" s="23"/>
      <c r="K54" s="23"/>
      <c r="L54" s="23">
        <v>1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36">
        <f t="shared" si="36"/>
        <v>1</v>
      </c>
      <c r="AM54" s="6">
        <f t="shared" si="37"/>
        <v>0</v>
      </c>
      <c r="AN54" s="6">
        <f t="shared" si="38"/>
        <v>0</v>
      </c>
      <c r="AO54" s="6">
        <f t="shared" si="39"/>
        <v>1812.99</v>
      </c>
      <c r="AP54" s="6">
        <f t="shared" si="40"/>
        <v>0</v>
      </c>
      <c r="AQ54" s="6">
        <f t="shared" si="41"/>
        <v>0</v>
      </c>
      <c r="AR54" s="6">
        <f t="shared" si="42"/>
        <v>0</v>
      </c>
      <c r="AS54" s="6">
        <f t="shared" si="43"/>
        <v>0</v>
      </c>
      <c r="AT54" s="6">
        <f t="shared" si="44"/>
        <v>0</v>
      </c>
      <c r="AU54" s="6">
        <f t="shared" si="45"/>
        <v>0</v>
      </c>
      <c r="AV54" s="6">
        <f t="shared" si="46"/>
        <v>0</v>
      </c>
      <c r="AW54" s="6">
        <f t="shared" si="47"/>
        <v>0</v>
      </c>
      <c r="AX54" s="6">
        <f t="shared" si="48"/>
        <v>0</v>
      </c>
      <c r="AY54" s="6">
        <f t="shared" si="49"/>
        <v>0</v>
      </c>
      <c r="AZ54" s="6">
        <f t="shared" si="50"/>
        <v>0</v>
      </c>
      <c r="BA54" s="6">
        <f t="shared" si="51"/>
        <v>0</v>
      </c>
      <c r="BB54" s="6">
        <f t="shared" si="52"/>
        <v>0</v>
      </c>
      <c r="BC54" s="6">
        <f t="shared" si="53"/>
        <v>0</v>
      </c>
      <c r="BD54" s="6">
        <f t="shared" si="54"/>
        <v>0</v>
      </c>
      <c r="BE54" s="6">
        <f t="shared" si="55"/>
        <v>0</v>
      </c>
      <c r="BF54" s="6">
        <f t="shared" si="56"/>
        <v>0</v>
      </c>
      <c r="BG54" s="6">
        <f t="shared" si="57"/>
        <v>0</v>
      </c>
      <c r="BH54" s="6">
        <f t="shared" si="58"/>
        <v>0</v>
      </c>
      <c r="BI54" s="6">
        <f t="shared" si="59"/>
        <v>0</v>
      </c>
      <c r="BJ54" s="6">
        <f t="shared" si="60"/>
        <v>0</v>
      </c>
      <c r="BK54" s="6">
        <f t="shared" si="61"/>
        <v>0</v>
      </c>
      <c r="BL54" s="6">
        <f t="shared" si="62"/>
        <v>0</v>
      </c>
      <c r="BM54" s="6">
        <f t="shared" si="63"/>
        <v>0</v>
      </c>
      <c r="BN54" s="6">
        <f t="shared" si="64"/>
        <v>0</v>
      </c>
      <c r="BO54" s="34">
        <f t="shared" si="65"/>
        <v>1812.99</v>
      </c>
      <c r="BP54" s="34">
        <f t="shared" si="66"/>
        <v>0</v>
      </c>
    </row>
    <row r="55" spans="1:68" s="3" customFormat="1">
      <c r="A55" s="1" t="s">
        <v>29</v>
      </c>
      <c r="B55" s="1">
        <v>375</v>
      </c>
      <c r="C55" s="1" t="s">
        <v>28</v>
      </c>
      <c r="D55" s="1">
        <v>375</v>
      </c>
      <c r="E55" s="1" t="s">
        <v>469</v>
      </c>
      <c r="F55" s="5">
        <v>1241.29</v>
      </c>
      <c r="G55" s="5">
        <f t="shared" si="34"/>
        <v>1241.29</v>
      </c>
      <c r="H55" s="5"/>
      <c r="I55" s="19">
        <f t="shared" si="35"/>
        <v>1241.29</v>
      </c>
      <c r="J55" s="18"/>
      <c r="K55" s="18"/>
      <c r="L55" s="18">
        <v>1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1">
        <f t="shared" si="36"/>
        <v>1</v>
      </c>
      <c r="AM55" s="5">
        <f t="shared" si="37"/>
        <v>0</v>
      </c>
      <c r="AN55" s="5">
        <f t="shared" si="38"/>
        <v>0</v>
      </c>
      <c r="AO55" s="5">
        <f t="shared" si="39"/>
        <v>1241.29</v>
      </c>
      <c r="AP55" s="5">
        <f t="shared" si="40"/>
        <v>0</v>
      </c>
      <c r="AQ55" s="5">
        <f t="shared" si="41"/>
        <v>0</v>
      </c>
      <c r="AR55" s="5">
        <f t="shared" si="42"/>
        <v>0</v>
      </c>
      <c r="AS55" s="5">
        <f t="shared" si="43"/>
        <v>0</v>
      </c>
      <c r="AT55" s="5">
        <f t="shared" si="44"/>
        <v>0</v>
      </c>
      <c r="AU55" s="5">
        <f t="shared" si="45"/>
        <v>0</v>
      </c>
      <c r="AV55" s="5">
        <f t="shared" si="46"/>
        <v>0</v>
      </c>
      <c r="AW55" s="5">
        <f t="shared" si="47"/>
        <v>0</v>
      </c>
      <c r="AX55" s="5">
        <f t="shared" si="48"/>
        <v>0</v>
      </c>
      <c r="AY55" s="5">
        <f t="shared" si="49"/>
        <v>0</v>
      </c>
      <c r="AZ55" s="5">
        <f t="shared" si="50"/>
        <v>0</v>
      </c>
      <c r="BA55" s="5">
        <f t="shared" si="51"/>
        <v>0</v>
      </c>
      <c r="BB55" s="5">
        <f t="shared" si="52"/>
        <v>0</v>
      </c>
      <c r="BC55" s="5">
        <f t="shared" si="53"/>
        <v>0</v>
      </c>
      <c r="BD55" s="5">
        <f t="shared" si="54"/>
        <v>0</v>
      </c>
      <c r="BE55" s="5">
        <f t="shared" si="55"/>
        <v>0</v>
      </c>
      <c r="BF55" s="5">
        <f t="shared" si="56"/>
        <v>0</v>
      </c>
      <c r="BG55" s="5">
        <f t="shared" si="57"/>
        <v>0</v>
      </c>
      <c r="BH55" s="5">
        <f t="shared" si="58"/>
        <v>0</v>
      </c>
      <c r="BI55" s="5">
        <f t="shared" si="59"/>
        <v>0</v>
      </c>
      <c r="BJ55" s="5">
        <f t="shared" si="60"/>
        <v>0</v>
      </c>
      <c r="BK55" s="5">
        <f t="shared" si="61"/>
        <v>0</v>
      </c>
      <c r="BL55" s="5">
        <f t="shared" si="62"/>
        <v>0</v>
      </c>
      <c r="BM55" s="5">
        <f t="shared" si="63"/>
        <v>0</v>
      </c>
      <c r="BN55" s="5">
        <f t="shared" si="64"/>
        <v>0</v>
      </c>
      <c r="BO55" s="12">
        <f t="shared" si="65"/>
        <v>1241.29</v>
      </c>
      <c r="BP55" s="12">
        <f t="shared" si="66"/>
        <v>0</v>
      </c>
    </row>
    <row r="56" spans="1:68" s="4" customFormat="1">
      <c r="A56" s="14" t="s">
        <v>467</v>
      </c>
      <c r="B56" s="14">
        <v>495</v>
      </c>
      <c r="C56" s="14" t="s">
        <v>470</v>
      </c>
      <c r="D56" s="14">
        <v>375</v>
      </c>
      <c r="E56" s="14" t="s">
        <v>469</v>
      </c>
      <c r="F56" s="6">
        <v>2875.42</v>
      </c>
      <c r="G56" s="6">
        <v>693</v>
      </c>
      <c r="H56" s="6" t="s">
        <v>603</v>
      </c>
      <c r="I56" s="33">
        <f t="shared" si="35"/>
        <v>693</v>
      </c>
      <c r="J56" s="23">
        <v>1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36">
        <f t="shared" si="36"/>
        <v>1</v>
      </c>
      <c r="AM56" s="6">
        <f t="shared" si="37"/>
        <v>693</v>
      </c>
      <c r="AN56" s="6">
        <f t="shared" si="38"/>
        <v>0</v>
      </c>
      <c r="AO56" s="6">
        <f t="shared" si="39"/>
        <v>0</v>
      </c>
      <c r="AP56" s="6">
        <f t="shared" si="40"/>
        <v>0</v>
      </c>
      <c r="AQ56" s="6">
        <f t="shared" si="41"/>
        <v>0</v>
      </c>
      <c r="AR56" s="6">
        <f t="shared" si="42"/>
        <v>0</v>
      </c>
      <c r="AS56" s="6">
        <f t="shared" si="43"/>
        <v>0</v>
      </c>
      <c r="AT56" s="6">
        <f t="shared" si="44"/>
        <v>0</v>
      </c>
      <c r="AU56" s="6">
        <f t="shared" si="45"/>
        <v>0</v>
      </c>
      <c r="AV56" s="6">
        <f t="shared" si="46"/>
        <v>0</v>
      </c>
      <c r="AW56" s="6">
        <f t="shared" si="47"/>
        <v>0</v>
      </c>
      <c r="AX56" s="6">
        <f t="shared" si="48"/>
        <v>0</v>
      </c>
      <c r="AY56" s="6">
        <f t="shared" si="49"/>
        <v>0</v>
      </c>
      <c r="AZ56" s="6">
        <f t="shared" si="50"/>
        <v>0</v>
      </c>
      <c r="BA56" s="6">
        <f t="shared" si="51"/>
        <v>0</v>
      </c>
      <c r="BB56" s="6">
        <f t="shared" si="52"/>
        <v>0</v>
      </c>
      <c r="BC56" s="6">
        <f t="shared" si="53"/>
        <v>0</v>
      </c>
      <c r="BD56" s="6">
        <f t="shared" si="54"/>
        <v>0</v>
      </c>
      <c r="BE56" s="6">
        <f t="shared" si="55"/>
        <v>0</v>
      </c>
      <c r="BF56" s="6">
        <f t="shared" si="56"/>
        <v>0</v>
      </c>
      <c r="BG56" s="6">
        <f t="shared" si="57"/>
        <v>0</v>
      </c>
      <c r="BH56" s="6">
        <f t="shared" si="58"/>
        <v>0</v>
      </c>
      <c r="BI56" s="6">
        <f t="shared" si="59"/>
        <v>0</v>
      </c>
      <c r="BJ56" s="6">
        <f t="shared" si="60"/>
        <v>0</v>
      </c>
      <c r="BK56" s="6">
        <f t="shared" si="61"/>
        <v>0</v>
      </c>
      <c r="BL56" s="6">
        <f t="shared" si="62"/>
        <v>0</v>
      </c>
      <c r="BM56" s="6">
        <f t="shared" si="63"/>
        <v>0</v>
      </c>
      <c r="BN56" s="6">
        <f t="shared" si="64"/>
        <v>0</v>
      </c>
      <c r="BO56" s="34">
        <f t="shared" si="65"/>
        <v>693</v>
      </c>
      <c r="BP56" s="34">
        <f t="shared" si="66"/>
        <v>0</v>
      </c>
    </row>
    <row r="57" spans="1:68">
      <c r="J57" s="2" t="str">
        <f>+J1</f>
        <v>495-00101</v>
      </c>
      <c r="K57" s="2" t="str">
        <f>+K1</f>
        <v>375-00101</v>
      </c>
      <c r="L57" s="2" t="str">
        <f>+L1</f>
        <v>375-00102</v>
      </c>
      <c r="M57" s="2" t="str">
        <f>+M1</f>
        <v>375-00105</v>
      </c>
      <c r="N57" s="2" t="str">
        <f>+N1</f>
        <v>375-00202</v>
      </c>
      <c r="O57" s="2" t="str">
        <f>+O1</f>
        <v>375-01501</v>
      </c>
      <c r="P57" s="2" t="str">
        <f>+P1</f>
        <v>375-01503</v>
      </c>
      <c r="Q57" s="2" t="str">
        <f>+Q1</f>
        <v>375-00302</v>
      </c>
      <c r="R57" s="2" t="str">
        <f>+R1</f>
        <v>375-01101</v>
      </c>
      <c r="S57" s="2" t="str">
        <f>+S1</f>
        <v>375-01102</v>
      </c>
      <c r="T57" s="2" t="str">
        <f>+T1</f>
        <v>375-01103</v>
      </c>
      <c r="U57" s="2" t="str">
        <f>+U1</f>
        <v>375-01104</v>
      </c>
      <c r="V57" s="2" t="str">
        <f>+V1</f>
        <v>375-01105</v>
      </c>
      <c r="W57" s="2" t="str">
        <f>+W1</f>
        <v>375-01106</v>
      </c>
      <c r="X57" s="2" t="str">
        <f>+X1</f>
        <v>375-10001</v>
      </c>
      <c r="Y57" s="2" t="str">
        <f>+Y1</f>
        <v>375-10301</v>
      </c>
      <c r="Z57" s="2" t="str">
        <f>+Z1</f>
        <v>375-10302</v>
      </c>
      <c r="AA57" s="2" t="str">
        <f>+AA1</f>
        <v>375-10303</v>
      </c>
      <c r="AB57" s="2" t="str">
        <f>+AB1</f>
        <v>375-12302</v>
      </c>
      <c r="AC57" s="2" t="str">
        <f>+AC1</f>
        <v>375-12303</v>
      </c>
      <c r="AD57" s="2" t="str">
        <f>+AD1</f>
        <v>375-11202</v>
      </c>
      <c r="AE57" s="2" t="str">
        <f>+AE1</f>
        <v>375-11203</v>
      </c>
      <c r="AF57" s="2"/>
      <c r="AG57" s="2"/>
      <c r="AH57" s="2"/>
      <c r="AI57" s="2"/>
      <c r="AJ57" s="2"/>
      <c r="AK57" s="2"/>
      <c r="AL57" s="21">
        <f t="shared" ref="AL57" si="67">SUM(J57:AK57)</f>
        <v>0</v>
      </c>
      <c r="AM57" s="13" t="str">
        <f>+AM1</f>
        <v>495-00101</v>
      </c>
      <c r="AN57" s="13" t="str">
        <f>+AN1</f>
        <v>375-00101</v>
      </c>
      <c r="AO57" s="13" t="str">
        <f>+AO1</f>
        <v>375-00102</v>
      </c>
      <c r="AP57" s="13" t="str">
        <f>+AP1</f>
        <v>375-00105</v>
      </c>
      <c r="AQ57" s="13" t="str">
        <f>+AQ1</f>
        <v>375-00202</v>
      </c>
      <c r="AR57" s="13" t="str">
        <f>+AR1</f>
        <v>375-01501</v>
      </c>
      <c r="AS57" s="13" t="str">
        <f>+AS1</f>
        <v>375-01503</v>
      </c>
      <c r="AT57" s="13" t="str">
        <f>+AT1</f>
        <v>375-00302</v>
      </c>
      <c r="AU57" s="13" t="str">
        <f>+AU1</f>
        <v>375-01101</v>
      </c>
      <c r="AV57" s="13" t="str">
        <f>+AV1</f>
        <v>375-01102</v>
      </c>
      <c r="AW57" s="13" t="str">
        <f>+AW1</f>
        <v>375-01103</v>
      </c>
      <c r="AX57" s="13" t="str">
        <f>+AX1</f>
        <v>375-01104</v>
      </c>
      <c r="AY57" s="13" t="str">
        <f>+AY1</f>
        <v>375-01105</v>
      </c>
      <c r="AZ57" s="13" t="str">
        <f>+AZ1</f>
        <v>375-01106</v>
      </c>
      <c r="BA57" s="13" t="str">
        <f>+BA1</f>
        <v>375-10001</v>
      </c>
      <c r="BB57" s="13" t="str">
        <f>+BB1</f>
        <v>375-10301</v>
      </c>
      <c r="BC57" s="13" t="str">
        <f>+BC1</f>
        <v>375-10302</v>
      </c>
      <c r="BD57" s="13" t="str">
        <f>+BD1</f>
        <v>375-10303</v>
      </c>
      <c r="BE57" s="13" t="str">
        <f>+BE1</f>
        <v>375-12302</v>
      </c>
      <c r="BF57" s="13" t="str">
        <f>+BF1</f>
        <v>375-12303</v>
      </c>
      <c r="BG57" s="13" t="str">
        <f>+BG1</f>
        <v>375-11202</v>
      </c>
      <c r="BH57" s="13" t="str">
        <f>+BH1</f>
        <v>375-11203</v>
      </c>
      <c r="BI57" s="13" t="s">
        <v>487</v>
      </c>
      <c r="BJ57" s="13" t="s">
        <v>488</v>
      </c>
      <c r="BK57" s="13" t="s">
        <v>595</v>
      </c>
      <c r="BL57" s="13" t="s">
        <v>607</v>
      </c>
      <c r="BM57" s="13" t="s">
        <v>609</v>
      </c>
      <c r="BN57" s="13" t="s">
        <v>230</v>
      </c>
    </row>
    <row r="58" spans="1:68">
      <c r="F58" s="20"/>
      <c r="I58" s="5">
        <f>SUM(I2:I57)</f>
        <v>175789.58000000005</v>
      </c>
      <c r="AM58" s="5">
        <f>SUM(AM2:AM56)</f>
        <v>1531.5187000000001</v>
      </c>
      <c r="AN58" s="5">
        <f>SUM(AN2:AN56)</f>
        <v>21789.364000000001</v>
      </c>
      <c r="AO58" s="5">
        <f>SUM(AO2:AO56)</f>
        <v>40767.468000000001</v>
      </c>
      <c r="AP58" s="5">
        <f>SUM(AP2:AP56)</f>
        <v>9482.2386000000006</v>
      </c>
      <c r="AQ58" s="5">
        <f>SUM(AQ2:AQ56)</f>
        <v>938.3180000000001</v>
      </c>
      <c r="AR58" s="5">
        <f>SUM(AR2:AR56)</f>
        <v>770.48</v>
      </c>
      <c r="AS58" s="5">
        <f>SUM(AS2:AS56)</f>
        <v>770.48</v>
      </c>
      <c r="AT58" s="5">
        <f>SUM(AT2:AT56)</f>
        <v>0</v>
      </c>
      <c r="AU58" s="5">
        <f>SUM(AU2:AU56)</f>
        <v>1615.2956000000001</v>
      </c>
      <c r="AV58" s="5">
        <f>SUM(AV2:AV56)</f>
        <v>2526.9443999999999</v>
      </c>
      <c r="AW58" s="5">
        <f>SUM(AW2:AW56)</f>
        <v>2631.5965999999999</v>
      </c>
      <c r="AX58" s="5">
        <f>SUM(AX2:AX56)</f>
        <v>35.755600000000001</v>
      </c>
      <c r="AY58" s="5">
        <f>SUM(AY2:AY56)</f>
        <v>1251.4459999999999</v>
      </c>
      <c r="AZ58" s="5">
        <f>SUM(AZ2:AZ56)</f>
        <v>31096.979599999999</v>
      </c>
      <c r="BA58" s="5">
        <f>SUM(BA2:BA56)</f>
        <v>5908.5504000000001</v>
      </c>
      <c r="BB58" s="5">
        <f>SUM(BB2:BB56)</f>
        <v>510.77140000000003</v>
      </c>
      <c r="BC58" s="5">
        <f>SUM(BC2:BC56)</f>
        <v>3162.2219999999998</v>
      </c>
      <c r="BD58" s="5">
        <f>SUM(BD2:BD56)</f>
        <v>5002.1617999999999</v>
      </c>
      <c r="BE58" s="5">
        <f>SUM(BE2:BE56)</f>
        <v>5852.46</v>
      </c>
      <c r="BF58" s="5">
        <f>SUM(BF2:BF56)</f>
        <v>7102.451</v>
      </c>
      <c r="BG58" s="5">
        <f>SUM(BG2:BG56)</f>
        <v>11166.820000000002</v>
      </c>
      <c r="BH58" s="5">
        <f>SUM(BH2:BH56)</f>
        <v>4609.1373000000003</v>
      </c>
      <c r="BI58" s="5">
        <f>SUM(BI2:BI56)</f>
        <v>0</v>
      </c>
      <c r="BJ58" s="5">
        <f>SUM(BJ2:BJ56)</f>
        <v>5061.1100000000006</v>
      </c>
      <c r="BK58" s="5">
        <f>SUM(BK2:BK56)</f>
        <v>0</v>
      </c>
      <c r="BL58" s="5">
        <f t="shared" ref="BL58:BN58" si="68">SUM(BL2:BL56)</f>
        <v>6710.8010000000004</v>
      </c>
      <c r="BM58" s="5">
        <f t="shared" si="68"/>
        <v>5260.0160000000005</v>
      </c>
      <c r="BN58" s="5">
        <f t="shared" si="68"/>
        <v>235.19399999999999</v>
      </c>
      <c r="BO58" s="5">
        <f>SUM(BO2:BO56)</f>
        <v>175789.58000000005</v>
      </c>
    </row>
    <row r="62" spans="1:68">
      <c r="J62"/>
    </row>
    <row r="63" spans="1:68">
      <c r="C63" s="9" t="s">
        <v>109</v>
      </c>
      <c r="J63"/>
    </row>
    <row r="64" spans="1:68">
      <c r="C64" s="14" t="s">
        <v>465</v>
      </c>
      <c r="D64" s="1" t="s">
        <v>471</v>
      </c>
      <c r="E64" s="1" t="s">
        <v>477</v>
      </c>
      <c r="F64" s="1">
        <v>489</v>
      </c>
      <c r="J64"/>
      <c r="AA64" s="3"/>
      <c r="AB64" s="3"/>
      <c r="AM64" s="1"/>
    </row>
    <row r="65" spans="3:67">
      <c r="C65" s="14" t="s">
        <v>466</v>
      </c>
      <c r="D65" s="1" t="s">
        <v>471</v>
      </c>
      <c r="E65" s="1" t="s">
        <v>477</v>
      </c>
      <c r="F65" s="1">
        <v>489</v>
      </c>
      <c r="J65"/>
      <c r="AB65" s="22"/>
      <c r="AL65" s="1"/>
      <c r="AM65" s="1"/>
      <c r="AS65" s="16"/>
    </row>
    <row r="66" spans="3:67">
      <c r="J66"/>
      <c r="AB66" s="22"/>
      <c r="AL66" s="1"/>
      <c r="AM66" s="1"/>
    </row>
    <row r="67" spans="3:67">
      <c r="J67"/>
      <c r="AB67" s="22"/>
      <c r="AL67" s="1"/>
      <c r="AM67" s="1"/>
      <c r="AZ67" s="24"/>
      <c r="BD67"/>
      <c r="BE67"/>
      <c r="BF67"/>
      <c r="BG67"/>
      <c r="BH67"/>
      <c r="BI67"/>
      <c r="BJ67"/>
      <c r="BK67"/>
      <c r="BL67"/>
      <c r="BM67"/>
      <c r="BN67"/>
      <c r="BO67"/>
    </row>
    <row r="68" spans="3:67">
      <c r="J68"/>
      <c r="AB68" s="22"/>
      <c r="AL68" s="1"/>
      <c r="AM68" s="1"/>
      <c r="AZ68" s="24"/>
      <c r="BD68"/>
      <c r="BE68"/>
      <c r="BF68"/>
      <c r="BG68"/>
      <c r="BH68"/>
      <c r="BI68"/>
      <c r="BJ68"/>
      <c r="BK68"/>
      <c r="BL68"/>
      <c r="BM68"/>
      <c r="BN68"/>
      <c r="BO68"/>
    </row>
    <row r="69" spans="3:67">
      <c r="J69"/>
      <c r="AB69" s="22"/>
      <c r="AL69" s="1"/>
      <c r="AM69" s="1"/>
      <c r="AZ69" s="24"/>
      <c r="BD69"/>
      <c r="BE69"/>
      <c r="BF69"/>
      <c r="BG69"/>
      <c r="BH69"/>
      <c r="BI69"/>
      <c r="BJ69"/>
      <c r="BK69"/>
      <c r="BL69"/>
      <c r="BM69"/>
      <c r="BN69"/>
      <c r="BO69"/>
    </row>
    <row r="70" spans="3:67">
      <c r="C70" s="9" t="s">
        <v>604</v>
      </c>
      <c r="D70" s="9" t="s">
        <v>606</v>
      </c>
      <c r="E70" s="9"/>
      <c r="F70" s="9" t="s">
        <v>599</v>
      </c>
      <c r="G70" s="9" t="s">
        <v>168</v>
      </c>
      <c r="H70" s="9" t="s">
        <v>605</v>
      </c>
      <c r="J70"/>
      <c r="AB70" s="22"/>
      <c r="AL70" s="1"/>
      <c r="AM70" s="1"/>
      <c r="AZ70" s="24"/>
      <c r="BD70"/>
      <c r="BE70"/>
      <c r="BF70"/>
      <c r="BG70"/>
      <c r="BH70"/>
      <c r="BI70"/>
      <c r="BJ70"/>
      <c r="BK70"/>
      <c r="BL70"/>
      <c r="BM70"/>
      <c r="BN70"/>
      <c r="BO70"/>
    </row>
    <row r="71" spans="3:67">
      <c r="C71" s="1" t="s">
        <v>474</v>
      </c>
      <c r="D71" s="1">
        <v>375</v>
      </c>
      <c r="E71" s="1" t="s">
        <v>473</v>
      </c>
      <c r="F71" s="5">
        <v>464.60399999999998</v>
      </c>
      <c r="G71" s="5" t="s">
        <v>184</v>
      </c>
      <c r="H71" s="20" t="s">
        <v>597</v>
      </c>
      <c r="J71"/>
      <c r="AB71" s="22"/>
      <c r="AL71" s="1"/>
      <c r="AM71" s="1"/>
      <c r="AZ71" s="24"/>
      <c r="BD71"/>
      <c r="BE71"/>
      <c r="BF71"/>
      <c r="BG71"/>
      <c r="BH71"/>
      <c r="BI71"/>
      <c r="BJ71"/>
      <c r="BK71"/>
      <c r="BL71"/>
      <c r="BM71"/>
      <c r="BN71"/>
      <c r="BO71"/>
    </row>
    <row r="72" spans="3:67">
      <c r="C72" s="1" t="s">
        <v>475</v>
      </c>
      <c r="D72" s="1">
        <v>375</v>
      </c>
      <c r="E72" s="1" t="s">
        <v>473</v>
      </c>
      <c r="F72" s="5">
        <v>464.60399999999998</v>
      </c>
      <c r="G72" s="5" t="s">
        <v>184</v>
      </c>
      <c r="H72" s="20" t="s">
        <v>597</v>
      </c>
      <c r="J72"/>
      <c r="AB72" s="22"/>
      <c r="AL72" s="1"/>
      <c r="AM72" s="1"/>
      <c r="AZ72" s="24"/>
      <c r="BD72"/>
      <c r="BE72"/>
      <c r="BF72"/>
      <c r="BG72"/>
      <c r="BH72"/>
      <c r="BI72"/>
      <c r="BJ72"/>
      <c r="BK72"/>
      <c r="BL72"/>
      <c r="BM72"/>
      <c r="BN72"/>
      <c r="BO72"/>
    </row>
    <row r="73" spans="3:67">
      <c r="C73" s="1" t="s">
        <v>476</v>
      </c>
      <c r="D73" s="1">
        <v>375</v>
      </c>
      <c r="E73" s="1" t="s">
        <v>473</v>
      </c>
      <c r="F73" s="5">
        <v>49.79</v>
      </c>
      <c r="G73" s="5" t="s">
        <v>184</v>
      </c>
      <c r="H73" s="20" t="s">
        <v>598</v>
      </c>
      <c r="J73"/>
      <c r="AB73" s="22"/>
      <c r="AL73" s="1"/>
      <c r="AM73" s="1"/>
      <c r="AZ73" s="24"/>
      <c r="BD73"/>
      <c r="BE73"/>
      <c r="BF73"/>
      <c r="BG73"/>
      <c r="BH73"/>
      <c r="BI73"/>
      <c r="BJ73"/>
      <c r="BK73"/>
      <c r="BL73"/>
      <c r="BM73"/>
      <c r="BN73"/>
      <c r="BO73"/>
    </row>
    <row r="74" spans="3:67">
      <c r="C74" s="14"/>
      <c r="D74" s="14"/>
      <c r="E74" s="14"/>
      <c r="F74" s="26"/>
      <c r="J74"/>
      <c r="AB74" s="22"/>
      <c r="AL74" s="1"/>
      <c r="AM74" s="1"/>
      <c r="AZ74" s="24"/>
      <c r="BD74"/>
      <c r="BE74"/>
      <c r="BF74"/>
      <c r="BG74"/>
      <c r="BH74"/>
      <c r="BI74"/>
      <c r="BJ74"/>
      <c r="BK74"/>
      <c r="BL74"/>
      <c r="BM74"/>
      <c r="BN74"/>
      <c r="BO74"/>
    </row>
    <row r="75" spans="3:67">
      <c r="D75" s="5"/>
      <c r="E75" s="5"/>
      <c r="G75" s="9" t="s">
        <v>168</v>
      </c>
      <c r="H75" s="9" t="s">
        <v>599</v>
      </c>
      <c r="J75"/>
      <c r="AB75" s="22"/>
      <c r="AL75" s="1"/>
      <c r="AM75" s="1"/>
      <c r="AZ75" s="24"/>
      <c r="BD75"/>
      <c r="BE75"/>
      <c r="BF75"/>
      <c r="BG75"/>
      <c r="BH75"/>
      <c r="BI75"/>
      <c r="BJ75"/>
      <c r="BK75"/>
      <c r="BL75"/>
      <c r="BM75"/>
      <c r="BN75"/>
      <c r="BO75"/>
    </row>
    <row r="76" spans="3:67">
      <c r="C76" s="5"/>
      <c r="D76" s="5"/>
      <c r="E76" s="5"/>
      <c r="G76" s="5" t="s">
        <v>309</v>
      </c>
      <c r="H76" s="37">
        <v>1531.5187000000001</v>
      </c>
      <c r="J76"/>
      <c r="AL76" s="1"/>
      <c r="AM76" s="1"/>
      <c r="AZ76" s="24"/>
      <c r="BD76"/>
      <c r="BE76"/>
      <c r="BF76"/>
      <c r="BG76"/>
      <c r="BH76"/>
      <c r="BI76"/>
      <c r="BJ76"/>
      <c r="BK76"/>
      <c r="BL76"/>
      <c r="BM76"/>
      <c r="BN76"/>
      <c r="BO76"/>
    </row>
    <row r="77" spans="3:67">
      <c r="E77" s="5"/>
      <c r="G77" s="5" t="s">
        <v>183</v>
      </c>
      <c r="H77" s="37">
        <v>21789.364000000001</v>
      </c>
      <c r="J77" s="17"/>
      <c r="K77" s="17"/>
      <c r="Q77" s="17"/>
      <c r="S77" s="17"/>
      <c r="AL77" s="1"/>
      <c r="AM77" s="1"/>
      <c r="AZ77" s="24"/>
      <c r="BD77"/>
      <c r="BE77"/>
      <c r="BF77"/>
      <c r="BG77"/>
      <c r="BH77"/>
      <c r="BI77"/>
      <c r="BJ77"/>
      <c r="BK77"/>
      <c r="BL77"/>
      <c r="BM77"/>
      <c r="BN77"/>
      <c r="BO77"/>
    </row>
    <row r="78" spans="3:67">
      <c r="G78" s="5" t="s">
        <v>184</v>
      </c>
      <c r="H78" s="37">
        <v>40767.468000000001</v>
      </c>
      <c r="J78" s="17"/>
      <c r="K78" s="17"/>
      <c r="Q78" s="17"/>
      <c r="S78" s="17"/>
      <c r="AL78" s="1"/>
      <c r="AM78" s="1"/>
      <c r="AZ78" s="24"/>
      <c r="BD78"/>
      <c r="BE78"/>
      <c r="BF78"/>
      <c r="BG78"/>
      <c r="BH78"/>
      <c r="BI78"/>
      <c r="BJ78"/>
      <c r="BK78"/>
      <c r="BL78"/>
      <c r="BM78"/>
      <c r="BN78"/>
      <c r="BO78"/>
    </row>
    <row r="79" spans="3:67">
      <c r="C79" s="9" t="s">
        <v>602</v>
      </c>
      <c r="G79" s="5" t="s">
        <v>187</v>
      </c>
      <c r="H79" s="37">
        <v>9482.2386000000006</v>
      </c>
      <c r="J79" s="17"/>
      <c r="K79" s="1"/>
      <c r="L79" s="1"/>
      <c r="M79" s="25"/>
      <c r="Q79" s="17"/>
      <c r="S79" s="17"/>
      <c r="AL79" s="1"/>
      <c r="AM79" s="1"/>
      <c r="AZ79" s="24"/>
      <c r="BD79"/>
      <c r="BE79"/>
      <c r="BF79"/>
      <c r="BG79"/>
      <c r="BH79"/>
      <c r="BI79"/>
      <c r="BJ79"/>
      <c r="BK79"/>
      <c r="BL79"/>
      <c r="BM79"/>
      <c r="BN79"/>
      <c r="BO79"/>
    </row>
    <row r="80" spans="3:67">
      <c r="C80" s="1" t="s">
        <v>478</v>
      </c>
      <c r="G80" s="5" t="s">
        <v>190</v>
      </c>
      <c r="H80" s="37">
        <v>938.3180000000001</v>
      </c>
      <c r="J80" s="17"/>
      <c r="K80" s="1"/>
      <c r="L80" s="1"/>
      <c r="M80" s="25"/>
      <c r="Q80" s="17"/>
      <c r="S80" s="17"/>
      <c r="AL80" s="1"/>
      <c r="AM80" s="1"/>
      <c r="AZ80" s="24"/>
      <c r="BD80"/>
      <c r="BE80"/>
      <c r="BF80"/>
      <c r="BG80"/>
      <c r="BH80"/>
      <c r="BI80"/>
      <c r="BJ80"/>
      <c r="BK80"/>
      <c r="BL80"/>
      <c r="BM80"/>
      <c r="BN80"/>
      <c r="BO80"/>
    </row>
    <row r="81" spans="3:67">
      <c r="C81" s="1" t="s">
        <v>479</v>
      </c>
      <c r="G81" s="5" t="s">
        <v>224</v>
      </c>
      <c r="H81" s="37">
        <v>770.48</v>
      </c>
      <c r="K81" s="1"/>
      <c r="L81" s="1"/>
      <c r="M81" s="25"/>
      <c r="N81" s="17"/>
      <c r="T81" s="17"/>
      <c r="AL81" s="1"/>
      <c r="AM81" s="1"/>
      <c r="AZ81" s="24"/>
    </row>
    <row r="82" spans="3:67">
      <c r="C82" s="1" t="s">
        <v>480</v>
      </c>
      <c r="G82" s="5" t="s">
        <v>226</v>
      </c>
      <c r="H82" s="37">
        <v>770.48</v>
      </c>
      <c r="J82" s="17"/>
      <c r="M82" s="25"/>
      <c r="Q82" s="17"/>
      <c r="S82" s="17"/>
      <c r="AL82" s="1"/>
      <c r="AM82" s="1"/>
      <c r="AZ82" s="24"/>
      <c r="BD82"/>
      <c r="BE82"/>
      <c r="BF82"/>
      <c r="BG82"/>
      <c r="BH82"/>
      <c r="BI82"/>
      <c r="BJ82"/>
      <c r="BK82"/>
      <c r="BL82"/>
      <c r="BM82"/>
      <c r="BN82"/>
      <c r="BO82"/>
    </row>
    <row r="83" spans="3:67">
      <c r="C83" s="1" t="s">
        <v>481</v>
      </c>
      <c r="G83" s="5" t="s">
        <v>193</v>
      </c>
      <c r="H83" s="37">
        <v>0</v>
      </c>
      <c r="I83" s="17"/>
      <c r="J83"/>
      <c r="K83" s="1"/>
      <c r="L83" s="1"/>
      <c r="M83" s="25"/>
      <c r="O83" s="17"/>
      <c r="Q83" s="17"/>
      <c r="S83" s="17"/>
      <c r="AL83" s="1"/>
      <c r="AM83" s="1"/>
      <c r="AZ83" s="24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3:67">
      <c r="C84" s="1" t="s">
        <v>482</v>
      </c>
      <c r="G84" s="5" t="s">
        <v>211</v>
      </c>
      <c r="H84" s="37">
        <v>1615.2956000000001</v>
      </c>
      <c r="I84" s="17"/>
      <c r="J84"/>
      <c r="K84" s="1"/>
      <c r="L84" s="1"/>
      <c r="M84" s="25"/>
      <c r="O84" s="17"/>
      <c r="Q84" s="17"/>
      <c r="S84" s="17"/>
      <c r="AL84" s="1"/>
      <c r="AM84" s="1"/>
      <c r="AZ84" s="2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3:67" s="1" customFormat="1">
      <c r="C85" s="1" t="s">
        <v>483</v>
      </c>
      <c r="G85" s="5" t="s">
        <v>212</v>
      </c>
      <c r="H85" s="37">
        <v>2526.9443999999999</v>
      </c>
      <c r="I85" s="17"/>
      <c r="J85"/>
      <c r="M85" s="25"/>
      <c r="N85"/>
      <c r="O85" s="17"/>
      <c r="P85"/>
      <c r="Q85" s="17"/>
      <c r="R85"/>
      <c r="S85" s="17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Z85"/>
      <c r="BA85"/>
    </row>
    <row r="86" spans="3:67">
      <c r="C86" s="1" t="s">
        <v>484</v>
      </c>
      <c r="G86" s="5" t="s">
        <v>213</v>
      </c>
      <c r="H86" s="37">
        <v>2631.5965999999999</v>
      </c>
      <c r="I86"/>
      <c r="J86"/>
      <c r="K86" s="1"/>
      <c r="L86" s="1"/>
      <c r="M86" s="25"/>
      <c r="AL86" s="1"/>
      <c r="AM86" s="1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</row>
    <row r="87" spans="3:67">
      <c r="C87" s="1" t="s">
        <v>485</v>
      </c>
      <c r="G87" s="5" t="s">
        <v>214</v>
      </c>
      <c r="H87" s="37">
        <v>35.755600000000001</v>
      </c>
      <c r="I87"/>
      <c r="J87"/>
      <c r="K87" s="1"/>
      <c r="L87" s="1"/>
      <c r="M87" s="25"/>
      <c r="AL87" s="1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</row>
    <row r="88" spans="3:67">
      <c r="C88" s="1" t="s">
        <v>486</v>
      </c>
      <c r="G88" s="5" t="s">
        <v>215</v>
      </c>
      <c r="H88" s="37">
        <v>1251.4459999999999</v>
      </c>
      <c r="I88"/>
      <c r="J88"/>
      <c r="K88" s="1"/>
      <c r="L88" s="1"/>
      <c r="M88" s="25"/>
      <c r="AL88" s="1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</row>
    <row r="89" spans="3:67">
      <c r="G89" s="5" t="s">
        <v>216</v>
      </c>
      <c r="H89" s="37">
        <v>31096.979599999999</v>
      </c>
      <c r="I89"/>
      <c r="J89"/>
      <c r="K89" s="1"/>
      <c r="L89" s="1"/>
      <c r="M89" s="25"/>
      <c r="AL89" s="1"/>
      <c r="AM89" s="1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</row>
    <row r="90" spans="3:67">
      <c r="G90" s="5" t="s">
        <v>238</v>
      </c>
      <c r="H90" s="37">
        <v>5908.5504000000001</v>
      </c>
      <c r="I90"/>
      <c r="J90"/>
      <c r="K90" s="1"/>
      <c r="L90" s="1"/>
      <c r="M90" s="25"/>
      <c r="AM90" s="1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</row>
    <row r="91" spans="3:67">
      <c r="G91" s="5" t="s">
        <v>244</v>
      </c>
      <c r="H91" s="37">
        <v>510.77140000000003</v>
      </c>
      <c r="I91"/>
      <c r="J91"/>
      <c r="K91" s="1"/>
      <c r="L91" s="1"/>
      <c r="M91" s="25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</row>
    <row r="92" spans="3:67">
      <c r="G92" s="5" t="s">
        <v>245</v>
      </c>
      <c r="H92" s="37">
        <v>3162.2219999999998</v>
      </c>
      <c r="I92"/>
      <c r="J92"/>
      <c r="K92" s="1"/>
      <c r="L92" s="1"/>
      <c r="M92" s="25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</row>
    <row r="93" spans="3:67">
      <c r="E93" s="5"/>
      <c r="G93" s="5" t="s">
        <v>246</v>
      </c>
      <c r="H93" s="37">
        <v>5002.1617999999999</v>
      </c>
      <c r="I93"/>
      <c r="J93"/>
      <c r="K93" s="1"/>
      <c r="L93" s="1"/>
      <c r="M93" s="25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</row>
    <row r="94" spans="3:67">
      <c r="E94" s="5"/>
      <c r="G94" s="5" t="s">
        <v>280</v>
      </c>
      <c r="H94" s="37">
        <v>5852.46</v>
      </c>
      <c r="I94"/>
      <c r="J94"/>
      <c r="K94" s="1"/>
      <c r="L94" s="1"/>
      <c r="M94" s="25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</row>
    <row r="95" spans="3:67">
      <c r="E95" s="5"/>
      <c r="G95" s="5" t="s">
        <v>281</v>
      </c>
      <c r="H95" s="37">
        <v>7102.451</v>
      </c>
      <c r="I95"/>
      <c r="J95"/>
      <c r="K95" s="1"/>
      <c r="L95" s="1"/>
      <c r="M95" s="25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</row>
    <row r="96" spans="3:67">
      <c r="E96" s="5"/>
      <c r="G96" s="5" t="s">
        <v>264</v>
      </c>
      <c r="H96" s="37">
        <v>11166.820000000002</v>
      </c>
      <c r="I96"/>
      <c r="J96"/>
      <c r="K96" s="1"/>
      <c r="L96" s="1"/>
      <c r="M96" s="25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</row>
    <row r="97" spans="5:67">
      <c r="E97" s="5"/>
      <c r="G97" s="5" t="s">
        <v>265</v>
      </c>
      <c r="H97" s="37">
        <v>4609.1373000000003</v>
      </c>
      <c r="J97"/>
      <c r="K97" s="1"/>
      <c r="L97" s="1"/>
      <c r="M97" s="25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BC97"/>
      <c r="BD97"/>
      <c r="BE97"/>
      <c r="BF97"/>
      <c r="BG97"/>
      <c r="BH97"/>
      <c r="BI97"/>
      <c r="BJ97"/>
      <c r="BK97"/>
      <c r="BL97"/>
      <c r="BM97"/>
      <c r="BN97"/>
      <c r="BO97"/>
    </row>
    <row r="98" spans="5:67">
      <c r="G98" s="5" t="s">
        <v>487</v>
      </c>
      <c r="H98" s="37">
        <v>0</v>
      </c>
      <c r="J98"/>
      <c r="K98" s="1"/>
      <c r="L98" s="1"/>
      <c r="M98" s="25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BC98"/>
      <c r="BD98"/>
      <c r="BE98"/>
      <c r="BF98"/>
      <c r="BG98"/>
      <c r="BH98"/>
      <c r="BI98"/>
      <c r="BJ98"/>
      <c r="BK98"/>
      <c r="BL98"/>
      <c r="BM98"/>
      <c r="BN98"/>
      <c r="BO98"/>
    </row>
    <row r="99" spans="5:67">
      <c r="G99" s="5" t="s">
        <v>488</v>
      </c>
      <c r="H99" s="37">
        <v>5061.1100000000006</v>
      </c>
      <c r="J99"/>
      <c r="K99" s="1"/>
      <c r="L99" s="1"/>
      <c r="M99" s="25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BC99"/>
      <c r="BD99"/>
      <c r="BE99"/>
      <c r="BF99"/>
      <c r="BG99"/>
      <c r="BH99"/>
      <c r="BI99"/>
      <c r="BJ99"/>
      <c r="BK99"/>
      <c r="BL99"/>
      <c r="BM99"/>
      <c r="BN99"/>
      <c r="BO99"/>
    </row>
    <row r="100" spans="5:67">
      <c r="G100" s="5" t="s">
        <v>595</v>
      </c>
      <c r="H100" s="37">
        <v>0</v>
      </c>
      <c r="J100"/>
      <c r="K100" s="1"/>
      <c r="L100" s="1"/>
      <c r="M100" s="25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</row>
    <row r="101" spans="5:67">
      <c r="G101" s="5" t="s">
        <v>607</v>
      </c>
      <c r="H101" s="37">
        <v>6710.8010000000004</v>
      </c>
    </row>
    <row r="102" spans="5:67">
      <c r="G102" s="5" t="s">
        <v>609</v>
      </c>
      <c r="H102" s="37">
        <v>5260.0160000000005</v>
      </c>
    </row>
    <row r="103" spans="5:67">
      <c r="G103" s="5" t="s">
        <v>230</v>
      </c>
      <c r="H103" s="37">
        <v>235.19399999999999</v>
      </c>
    </row>
    <row r="105" spans="5:67">
      <c r="AV105" s="22"/>
    </row>
    <row r="106" spans="5:67">
      <c r="AV106" s="22"/>
    </row>
  </sheetData>
  <autoFilter ref="A1:BP106"/>
  <phoneticPr fontId="11" type="noConversion"/>
  <conditionalFormatting sqref="C71:C74">
    <cfRule type="duplicateValues" dxfId="6" priority="11"/>
    <cfRule type="duplicateValues" dxfId="5" priority="12"/>
  </conditionalFormatting>
  <conditionalFormatting sqref="C64:C1048576 C1:C62">
    <cfRule type="duplicateValues" dxfId="4" priority="4"/>
  </conditionalFormatting>
  <conditionalFormatting sqref="D70:H70">
    <cfRule type="duplicateValues" dxfId="3" priority="3"/>
  </conditionalFormatting>
  <conditionalFormatting sqref="G75">
    <cfRule type="duplicateValues" dxfId="2" priority="2"/>
  </conditionalFormatting>
  <conditionalFormatting sqref="H75">
    <cfRule type="duplicateValues" dxfId="1" priority="1"/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Obras!$A:$A</xm:f>
          </x14:formula1>
          <xm:sqref>J1:AK1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K356"/>
  <sheetViews>
    <sheetView showGridLines="0" topLeftCell="A229" workbookViewId="0">
      <selection activeCell="B356" sqref="B356"/>
    </sheetView>
  </sheetViews>
  <sheetFormatPr baseColWidth="10" defaultRowHeight="14.4"/>
  <cols>
    <col min="2" max="2" width="33.88671875" bestFit="1" customWidth="1"/>
  </cols>
  <sheetData>
    <row r="1" spans="1:11">
      <c r="A1" s="3" t="s">
        <v>168</v>
      </c>
      <c r="B1" s="3" t="s">
        <v>491</v>
      </c>
    </row>
    <row r="2" spans="1:11">
      <c r="A2" t="s">
        <v>182</v>
      </c>
      <c r="B2" t="s">
        <v>492</v>
      </c>
    </row>
    <row r="3" spans="1:11">
      <c r="A3" t="s">
        <v>183</v>
      </c>
      <c r="B3" t="s">
        <v>493</v>
      </c>
    </row>
    <row r="4" spans="1:11">
      <c r="A4" t="s">
        <v>184</v>
      </c>
      <c r="B4" t="s">
        <v>494</v>
      </c>
      <c r="G4" s="1"/>
      <c r="H4" s="1"/>
      <c r="I4" s="1"/>
      <c r="J4" s="1"/>
      <c r="K4" s="15"/>
    </row>
    <row r="5" spans="1:11">
      <c r="A5" t="s">
        <v>185</v>
      </c>
      <c r="B5" t="s">
        <v>495</v>
      </c>
      <c r="G5" s="1"/>
      <c r="H5" s="1"/>
      <c r="I5" s="1"/>
      <c r="J5" s="1"/>
      <c r="K5" s="15"/>
    </row>
    <row r="6" spans="1:11">
      <c r="A6" t="s">
        <v>186</v>
      </c>
      <c r="B6" t="s">
        <v>496</v>
      </c>
      <c r="G6" s="1"/>
      <c r="H6" s="1"/>
      <c r="I6" s="1"/>
      <c r="J6" s="1"/>
      <c r="K6" s="15"/>
    </row>
    <row r="7" spans="1:11">
      <c r="A7" t="s">
        <v>187</v>
      </c>
      <c r="B7" t="s">
        <v>497</v>
      </c>
      <c r="G7" s="1"/>
      <c r="H7" s="1"/>
      <c r="I7" s="1"/>
      <c r="J7" s="1"/>
      <c r="K7" s="15"/>
    </row>
    <row r="8" spans="1:11">
      <c r="A8" t="s">
        <v>188</v>
      </c>
      <c r="B8" t="s">
        <v>498</v>
      </c>
      <c r="G8" s="1"/>
      <c r="H8" s="1"/>
      <c r="I8" s="1"/>
      <c r="J8" s="1"/>
      <c r="K8" s="15"/>
    </row>
    <row r="9" spans="1:11">
      <c r="A9" t="s">
        <v>189</v>
      </c>
      <c r="B9" t="s">
        <v>499</v>
      </c>
      <c r="G9" s="1"/>
      <c r="H9" s="1"/>
      <c r="I9" s="1"/>
      <c r="J9" s="1"/>
      <c r="K9" s="15"/>
    </row>
    <row r="10" spans="1:11">
      <c r="A10" t="s">
        <v>190</v>
      </c>
      <c r="B10" t="s">
        <v>500</v>
      </c>
      <c r="G10" s="1"/>
      <c r="H10" s="1"/>
      <c r="I10" s="1"/>
      <c r="J10" s="1"/>
      <c r="K10" s="15"/>
    </row>
    <row r="11" spans="1:11">
      <c r="A11" t="s">
        <v>191</v>
      </c>
      <c r="B11" t="s">
        <v>501</v>
      </c>
      <c r="G11" s="1"/>
      <c r="H11" s="1"/>
      <c r="I11" s="1"/>
      <c r="J11" s="1"/>
      <c r="K11" s="15"/>
    </row>
    <row r="12" spans="1:11">
      <c r="A12" t="s">
        <v>192</v>
      </c>
      <c r="B12" t="s">
        <v>502</v>
      </c>
      <c r="G12" s="1"/>
      <c r="H12" s="1"/>
      <c r="I12" s="1"/>
      <c r="J12" s="1"/>
      <c r="K12" s="1"/>
    </row>
    <row r="13" spans="1:11">
      <c r="A13" t="s">
        <v>193</v>
      </c>
      <c r="B13" t="s">
        <v>503</v>
      </c>
      <c r="G13" s="1"/>
      <c r="H13" s="1"/>
      <c r="I13" s="1"/>
      <c r="J13" s="1"/>
      <c r="K13" s="1"/>
    </row>
    <row r="14" spans="1:11">
      <c r="A14" t="s">
        <v>194</v>
      </c>
      <c r="B14" t="s">
        <v>504</v>
      </c>
      <c r="G14" s="1"/>
      <c r="H14" s="1"/>
      <c r="I14" s="1"/>
      <c r="J14" s="1"/>
      <c r="K14" s="1"/>
    </row>
    <row r="15" spans="1:11">
      <c r="A15" t="s">
        <v>195</v>
      </c>
      <c r="B15" t="s">
        <v>505</v>
      </c>
      <c r="G15" s="1"/>
      <c r="H15" s="1"/>
      <c r="I15" s="1"/>
      <c r="J15" s="1"/>
      <c r="K15" s="1"/>
    </row>
    <row r="16" spans="1:11">
      <c r="A16" t="s">
        <v>196</v>
      </c>
      <c r="B16" t="s">
        <v>506</v>
      </c>
      <c r="G16" s="1"/>
      <c r="H16" s="1"/>
      <c r="I16" s="1"/>
      <c r="J16" s="1"/>
      <c r="K16" s="1"/>
    </row>
    <row r="17" spans="1:11">
      <c r="A17" t="s">
        <v>197</v>
      </c>
      <c r="B17" t="s">
        <v>507</v>
      </c>
      <c r="G17" s="1"/>
      <c r="H17" s="1"/>
      <c r="I17" s="1"/>
      <c r="J17" s="1"/>
      <c r="K17" s="1"/>
    </row>
    <row r="18" spans="1:11">
      <c r="A18" t="s">
        <v>198</v>
      </c>
      <c r="B18" t="s">
        <v>508</v>
      </c>
      <c r="G18" s="1"/>
      <c r="H18" s="1"/>
      <c r="I18" s="1"/>
      <c r="J18" s="1"/>
      <c r="K18" s="1"/>
    </row>
    <row r="19" spans="1:11">
      <c r="A19" t="s">
        <v>199</v>
      </c>
      <c r="B19" t="s">
        <v>509</v>
      </c>
    </row>
    <row r="20" spans="1:11">
      <c r="A20" t="s">
        <v>200</v>
      </c>
      <c r="B20" t="s">
        <v>510</v>
      </c>
    </row>
    <row r="21" spans="1:11">
      <c r="A21" t="s">
        <v>201</v>
      </c>
      <c r="B21" t="s">
        <v>511</v>
      </c>
    </row>
    <row r="22" spans="1:11">
      <c r="A22" t="s">
        <v>202</v>
      </c>
      <c r="B22" t="s">
        <v>512</v>
      </c>
    </row>
    <row r="23" spans="1:11">
      <c r="A23" t="s">
        <v>203</v>
      </c>
      <c r="B23" t="s">
        <v>513</v>
      </c>
    </row>
    <row r="24" spans="1:11">
      <c r="A24" t="s">
        <v>204</v>
      </c>
      <c r="B24" t="s">
        <v>514</v>
      </c>
    </row>
    <row r="25" spans="1:11">
      <c r="A25" t="s">
        <v>205</v>
      </c>
      <c r="B25" t="s">
        <v>515</v>
      </c>
    </row>
    <row r="26" spans="1:11">
      <c r="A26" t="s">
        <v>206</v>
      </c>
      <c r="B26" t="s">
        <v>516</v>
      </c>
    </row>
    <row r="27" spans="1:11">
      <c r="A27" t="s">
        <v>207</v>
      </c>
      <c r="B27" t="s">
        <v>517</v>
      </c>
    </row>
    <row r="28" spans="1:11">
      <c r="A28" t="s">
        <v>208</v>
      </c>
      <c r="B28" t="s">
        <v>518</v>
      </c>
    </row>
    <row r="29" spans="1:11">
      <c r="A29" t="s">
        <v>209</v>
      </c>
      <c r="B29" t="s">
        <v>519</v>
      </c>
    </row>
    <row r="30" spans="1:11">
      <c r="A30" t="s">
        <v>210</v>
      </c>
      <c r="B30" t="s">
        <v>511</v>
      </c>
    </row>
    <row r="31" spans="1:11">
      <c r="A31" t="s">
        <v>211</v>
      </c>
      <c r="B31" t="s">
        <v>520</v>
      </c>
    </row>
    <row r="32" spans="1:11">
      <c r="A32" s="32" t="s">
        <v>212</v>
      </c>
      <c r="B32" s="32" t="s">
        <v>521</v>
      </c>
    </row>
    <row r="33" spans="1:2">
      <c r="A33" t="s">
        <v>213</v>
      </c>
      <c r="B33" t="s">
        <v>522</v>
      </c>
    </row>
    <row r="34" spans="1:2">
      <c r="A34" t="s">
        <v>214</v>
      </c>
      <c r="B34" t="s">
        <v>523</v>
      </c>
    </row>
    <row r="35" spans="1:2">
      <c r="A35" t="s">
        <v>215</v>
      </c>
      <c r="B35" t="s">
        <v>524</v>
      </c>
    </row>
    <row r="36" spans="1:2">
      <c r="A36" t="s">
        <v>216</v>
      </c>
      <c r="B36" t="s">
        <v>525</v>
      </c>
    </row>
    <row r="37" spans="1:2">
      <c r="A37" t="s">
        <v>217</v>
      </c>
      <c r="B37" t="s">
        <v>516</v>
      </c>
    </row>
    <row r="38" spans="1:2">
      <c r="A38" t="s">
        <v>218</v>
      </c>
      <c r="B38" t="s">
        <v>526</v>
      </c>
    </row>
    <row r="39" spans="1:2">
      <c r="A39" t="s">
        <v>219</v>
      </c>
      <c r="B39" t="s">
        <v>527</v>
      </c>
    </row>
    <row r="40" spans="1:2">
      <c r="A40" t="s">
        <v>220</v>
      </c>
      <c r="B40" t="s">
        <v>528</v>
      </c>
    </row>
    <row r="41" spans="1:2">
      <c r="A41" t="s">
        <v>221</v>
      </c>
      <c r="B41" t="s">
        <v>529</v>
      </c>
    </row>
    <row r="42" spans="1:2">
      <c r="A42" t="s">
        <v>222</v>
      </c>
      <c r="B42" t="s">
        <v>530</v>
      </c>
    </row>
    <row r="43" spans="1:2">
      <c r="A43" t="s">
        <v>223</v>
      </c>
      <c r="B43" t="s">
        <v>531</v>
      </c>
    </row>
    <row r="44" spans="1:2">
      <c r="A44" t="s">
        <v>224</v>
      </c>
      <c r="B44" t="s">
        <v>532</v>
      </c>
    </row>
    <row r="45" spans="1:2">
      <c r="A45" t="s">
        <v>225</v>
      </c>
      <c r="B45" t="s">
        <v>533</v>
      </c>
    </row>
    <row r="46" spans="1:2">
      <c r="A46" t="s">
        <v>226</v>
      </c>
      <c r="B46" t="s">
        <v>534</v>
      </c>
    </row>
    <row r="47" spans="1:2">
      <c r="A47" t="s">
        <v>227</v>
      </c>
      <c r="B47" t="s">
        <v>535</v>
      </c>
    </row>
    <row r="48" spans="1:2">
      <c r="A48" t="s">
        <v>228</v>
      </c>
      <c r="B48" t="s">
        <v>536</v>
      </c>
    </row>
    <row r="49" spans="1:2">
      <c r="A49" t="s">
        <v>229</v>
      </c>
      <c r="B49" t="s">
        <v>537</v>
      </c>
    </row>
    <row r="50" spans="1:2">
      <c r="A50" t="s">
        <v>230</v>
      </c>
      <c r="B50" t="s">
        <v>538</v>
      </c>
    </row>
    <row r="51" spans="1:2">
      <c r="A51" t="s">
        <v>231</v>
      </c>
      <c r="B51" t="s">
        <v>539</v>
      </c>
    </row>
    <row r="52" spans="1:2">
      <c r="A52" t="s">
        <v>232</v>
      </c>
      <c r="B52" t="s">
        <v>539</v>
      </c>
    </row>
    <row r="53" spans="1:2">
      <c r="A53" t="s">
        <v>233</v>
      </c>
      <c r="B53" t="s">
        <v>540</v>
      </c>
    </row>
    <row r="54" spans="1:2">
      <c r="A54" t="s">
        <v>234</v>
      </c>
      <c r="B54" t="s">
        <v>541</v>
      </c>
    </row>
    <row r="55" spans="1:2">
      <c r="A55" t="s">
        <v>235</v>
      </c>
      <c r="B55" t="s">
        <v>542</v>
      </c>
    </row>
    <row r="56" spans="1:2">
      <c r="A56" t="s">
        <v>236</v>
      </c>
      <c r="B56" t="s">
        <v>543</v>
      </c>
    </row>
    <row r="57" spans="1:2">
      <c r="A57" s="3" t="s">
        <v>487</v>
      </c>
      <c r="B57" s="3" t="s">
        <v>489</v>
      </c>
    </row>
    <row r="58" spans="1:2">
      <c r="A58" t="s">
        <v>237</v>
      </c>
      <c r="B58" t="s">
        <v>544</v>
      </c>
    </row>
    <row r="59" spans="1:2">
      <c r="A59" t="s">
        <v>238</v>
      </c>
      <c r="B59" t="s">
        <v>545</v>
      </c>
    </row>
    <row r="60" spans="1:2">
      <c r="A60" s="3" t="s">
        <v>488</v>
      </c>
      <c r="B60" s="3" t="s">
        <v>490</v>
      </c>
    </row>
    <row r="61" spans="1:2">
      <c r="A61" t="s">
        <v>239</v>
      </c>
      <c r="B61" t="s">
        <v>546</v>
      </c>
    </row>
    <row r="62" spans="1:2">
      <c r="A62" t="s">
        <v>240</v>
      </c>
      <c r="B62" t="s">
        <v>547</v>
      </c>
    </row>
    <row r="63" spans="1:2">
      <c r="A63" t="s">
        <v>241</v>
      </c>
      <c r="B63" t="s">
        <v>548</v>
      </c>
    </row>
    <row r="64" spans="1:2">
      <c r="A64" t="s">
        <v>242</v>
      </c>
      <c r="B64" t="s">
        <v>549</v>
      </c>
    </row>
    <row r="65" spans="1:2">
      <c r="A65" t="s">
        <v>243</v>
      </c>
      <c r="B65" t="s">
        <v>550</v>
      </c>
    </row>
    <row r="66" spans="1:2">
      <c r="A66" t="s">
        <v>244</v>
      </c>
      <c r="B66" t="s">
        <v>551</v>
      </c>
    </row>
    <row r="67" spans="1:2">
      <c r="A67" t="s">
        <v>245</v>
      </c>
      <c r="B67" t="s">
        <v>552</v>
      </c>
    </row>
    <row r="68" spans="1:2">
      <c r="A68" s="32" t="s">
        <v>246</v>
      </c>
      <c r="B68" s="32" t="s">
        <v>553</v>
      </c>
    </row>
    <row r="69" spans="1:2">
      <c r="A69" t="s">
        <v>247</v>
      </c>
      <c r="B69" t="s">
        <v>554</v>
      </c>
    </row>
    <row r="70" spans="1:2">
      <c r="A70" t="s">
        <v>248</v>
      </c>
      <c r="B70" t="s">
        <v>554</v>
      </c>
    </row>
    <row r="71" spans="1:2">
      <c r="A71" t="s">
        <v>249</v>
      </c>
      <c r="B71" t="s">
        <v>555</v>
      </c>
    </row>
    <row r="72" spans="1:2">
      <c r="A72" t="s">
        <v>250</v>
      </c>
      <c r="B72" t="s">
        <v>556</v>
      </c>
    </row>
    <row r="73" spans="1:2">
      <c r="A73" t="s">
        <v>251</v>
      </c>
      <c r="B73" t="s">
        <v>557</v>
      </c>
    </row>
    <row r="74" spans="1:2">
      <c r="A74" t="s">
        <v>252</v>
      </c>
      <c r="B74" t="s">
        <v>558</v>
      </c>
    </row>
    <row r="75" spans="1:2">
      <c r="A75" t="s">
        <v>253</v>
      </c>
      <c r="B75" t="s">
        <v>559</v>
      </c>
    </row>
    <row r="76" spans="1:2">
      <c r="A76" t="s">
        <v>254</v>
      </c>
      <c r="B76" t="s">
        <v>560</v>
      </c>
    </row>
    <row r="77" spans="1:2">
      <c r="A77" t="s">
        <v>255</v>
      </c>
      <c r="B77" t="s">
        <v>561</v>
      </c>
    </row>
    <row r="78" spans="1:2">
      <c r="A78" t="s">
        <v>256</v>
      </c>
      <c r="B78" t="s">
        <v>562</v>
      </c>
    </row>
    <row r="79" spans="1:2">
      <c r="A79" t="s">
        <v>257</v>
      </c>
      <c r="B79" t="s">
        <v>563</v>
      </c>
    </row>
    <row r="80" spans="1:2">
      <c r="A80" t="s">
        <v>258</v>
      </c>
      <c r="B80" t="s">
        <v>564</v>
      </c>
    </row>
    <row r="81" spans="1:2">
      <c r="A81" t="s">
        <v>259</v>
      </c>
      <c r="B81" t="s">
        <v>565</v>
      </c>
    </row>
    <row r="82" spans="1:2">
      <c r="A82" t="s">
        <v>260</v>
      </c>
      <c r="B82" t="s">
        <v>566</v>
      </c>
    </row>
    <row r="83" spans="1:2">
      <c r="A83" t="s">
        <v>261</v>
      </c>
      <c r="B83" t="s">
        <v>566</v>
      </c>
    </row>
    <row r="84" spans="1:2">
      <c r="A84" t="s">
        <v>262</v>
      </c>
      <c r="B84" t="s">
        <v>567</v>
      </c>
    </row>
    <row r="85" spans="1:2">
      <c r="A85" t="s">
        <v>263</v>
      </c>
      <c r="B85" t="s">
        <v>568</v>
      </c>
    </row>
    <row r="86" spans="1:2">
      <c r="A86" t="s">
        <v>264</v>
      </c>
      <c r="B86" t="s">
        <v>569</v>
      </c>
    </row>
    <row r="87" spans="1:2">
      <c r="A87" t="s">
        <v>265</v>
      </c>
      <c r="B87" t="s">
        <v>570</v>
      </c>
    </row>
    <row r="88" spans="1:2">
      <c r="A88" t="s">
        <v>266</v>
      </c>
      <c r="B88" t="s">
        <v>571</v>
      </c>
    </row>
    <row r="89" spans="1:2">
      <c r="A89" t="s">
        <v>267</v>
      </c>
      <c r="B89" t="s">
        <v>572</v>
      </c>
    </row>
    <row r="90" spans="1:2">
      <c r="A90" t="s">
        <v>268</v>
      </c>
      <c r="B90" t="s">
        <v>573</v>
      </c>
    </row>
    <row r="91" spans="1:2">
      <c r="A91" t="s">
        <v>269</v>
      </c>
      <c r="B91" t="s">
        <v>574</v>
      </c>
    </row>
    <row r="92" spans="1:2">
      <c r="A92" t="s">
        <v>270</v>
      </c>
      <c r="B92" t="s">
        <v>575</v>
      </c>
    </row>
    <row r="93" spans="1:2">
      <c r="A93" t="s">
        <v>271</v>
      </c>
      <c r="B93" t="s">
        <v>576</v>
      </c>
    </row>
    <row r="94" spans="1:2">
      <c r="A94" t="s">
        <v>272</v>
      </c>
      <c r="B94" t="s">
        <v>577</v>
      </c>
    </row>
    <row r="95" spans="1:2">
      <c r="A95" t="s">
        <v>273</v>
      </c>
      <c r="B95" t="s">
        <v>578</v>
      </c>
    </row>
    <row r="96" spans="1:2">
      <c r="A96" t="s">
        <v>274</v>
      </c>
      <c r="B96" t="s">
        <v>579</v>
      </c>
    </row>
    <row r="97" spans="1:2">
      <c r="A97" t="s">
        <v>275</v>
      </c>
      <c r="B97" t="s">
        <v>579</v>
      </c>
    </row>
    <row r="98" spans="1:2">
      <c r="A98" t="s">
        <v>276</v>
      </c>
      <c r="B98" t="s">
        <v>580</v>
      </c>
    </row>
    <row r="99" spans="1:2">
      <c r="A99" t="s">
        <v>277</v>
      </c>
      <c r="B99" t="s">
        <v>581</v>
      </c>
    </row>
    <row r="100" spans="1:2">
      <c r="A100" t="s">
        <v>278</v>
      </c>
      <c r="B100" t="s">
        <v>582</v>
      </c>
    </row>
    <row r="101" spans="1:2">
      <c r="A101" t="s">
        <v>279</v>
      </c>
      <c r="B101" t="s">
        <v>583</v>
      </c>
    </row>
    <row r="102" spans="1:2">
      <c r="A102" t="s">
        <v>280</v>
      </c>
      <c r="B102" t="s">
        <v>584</v>
      </c>
    </row>
    <row r="103" spans="1:2">
      <c r="A103" s="32" t="s">
        <v>281</v>
      </c>
      <c r="B103" s="32" t="s">
        <v>585</v>
      </c>
    </row>
    <row r="104" spans="1:2">
      <c r="A104" t="s">
        <v>282</v>
      </c>
      <c r="B104" t="s">
        <v>586</v>
      </c>
    </row>
    <row r="105" spans="1:2">
      <c r="A105" t="s">
        <v>283</v>
      </c>
      <c r="B105" t="s">
        <v>587</v>
      </c>
    </row>
    <row r="106" spans="1:2">
      <c r="A106" t="s">
        <v>284</v>
      </c>
      <c r="B106" t="s">
        <v>588</v>
      </c>
    </row>
    <row r="107" spans="1:2">
      <c r="A107" t="s">
        <v>285</v>
      </c>
      <c r="B107" t="s">
        <v>589</v>
      </c>
    </row>
    <row r="108" spans="1:2">
      <c r="A108" t="s">
        <v>286</v>
      </c>
      <c r="B108" t="s">
        <v>590</v>
      </c>
    </row>
    <row r="109" spans="1:2">
      <c r="A109" t="s">
        <v>289</v>
      </c>
      <c r="B109" t="e">
        <v>#N/A</v>
      </c>
    </row>
    <row r="110" spans="1:2">
      <c r="A110" t="s">
        <v>290</v>
      </c>
      <c r="B110" t="e">
        <v>#N/A</v>
      </c>
    </row>
    <row r="111" spans="1:2">
      <c r="A111" t="s">
        <v>291</v>
      </c>
      <c r="B111" t="e">
        <v>#N/A</v>
      </c>
    </row>
    <row r="112" spans="1:2">
      <c r="A112" t="s">
        <v>292</v>
      </c>
      <c r="B112" t="e">
        <v>#N/A</v>
      </c>
    </row>
    <row r="113" spans="1:2">
      <c r="A113" t="s">
        <v>293</v>
      </c>
      <c r="B113" t="e">
        <v>#N/A</v>
      </c>
    </row>
    <row r="114" spans="1:2">
      <c r="A114" t="s">
        <v>294</v>
      </c>
      <c r="B114" t="e">
        <v>#N/A</v>
      </c>
    </row>
    <row r="115" spans="1:2">
      <c r="A115" t="s">
        <v>295</v>
      </c>
      <c r="B115" t="e">
        <v>#N/A</v>
      </c>
    </row>
    <row r="116" spans="1:2">
      <c r="A116" t="s">
        <v>296</v>
      </c>
      <c r="B116" t="e">
        <v>#N/A</v>
      </c>
    </row>
    <row r="117" spans="1:2">
      <c r="A117" t="s">
        <v>297</v>
      </c>
      <c r="B117" t="e">
        <v>#N/A</v>
      </c>
    </row>
    <row r="118" spans="1:2">
      <c r="A118" t="s">
        <v>298</v>
      </c>
      <c r="B118" t="e">
        <v>#N/A</v>
      </c>
    </row>
    <row r="119" spans="1:2">
      <c r="A119" t="s">
        <v>299</v>
      </c>
      <c r="B119" t="e">
        <v>#N/A</v>
      </c>
    </row>
    <row r="120" spans="1:2">
      <c r="A120" t="s">
        <v>300</v>
      </c>
      <c r="B120" t="e">
        <v>#N/A</v>
      </c>
    </row>
    <row r="121" spans="1:2">
      <c r="A121" t="s">
        <v>301</v>
      </c>
      <c r="B121" t="e">
        <v>#N/A</v>
      </c>
    </row>
    <row r="122" spans="1:2">
      <c r="A122" t="s">
        <v>302</v>
      </c>
      <c r="B122" t="e">
        <v>#N/A</v>
      </c>
    </row>
    <row r="123" spans="1:2">
      <c r="A123" t="s">
        <v>303</v>
      </c>
      <c r="B123" t="e">
        <v>#N/A</v>
      </c>
    </row>
    <row r="124" spans="1:2">
      <c r="A124" t="s">
        <v>304</v>
      </c>
      <c r="B124" t="e">
        <v>#N/A</v>
      </c>
    </row>
    <row r="125" spans="1:2">
      <c r="A125" t="s">
        <v>305</v>
      </c>
      <c r="B125" t="e">
        <v>#N/A</v>
      </c>
    </row>
    <row r="126" spans="1:2">
      <c r="A126" t="s">
        <v>306</v>
      </c>
      <c r="B126" t="e">
        <v>#N/A</v>
      </c>
    </row>
    <row r="127" spans="1:2">
      <c r="A127" t="s">
        <v>307</v>
      </c>
      <c r="B127" t="e">
        <v>#N/A</v>
      </c>
    </row>
    <row r="128" spans="1:2">
      <c r="A128" t="s">
        <v>287</v>
      </c>
      <c r="B128" t="s">
        <v>591</v>
      </c>
    </row>
    <row r="129" spans="1:2">
      <c r="A129" t="s">
        <v>288</v>
      </c>
      <c r="B129" t="s">
        <v>592</v>
      </c>
    </row>
    <row r="130" spans="1:2">
      <c r="A130" t="s">
        <v>308</v>
      </c>
      <c r="B130" t="s">
        <v>562</v>
      </c>
    </row>
    <row r="131" spans="1:2">
      <c r="A131" t="s">
        <v>309</v>
      </c>
      <c r="B131" t="s">
        <v>563</v>
      </c>
    </row>
    <row r="132" spans="1:2">
      <c r="A132" t="s">
        <v>310</v>
      </c>
      <c r="B132" t="s">
        <v>564</v>
      </c>
    </row>
    <row r="133" spans="1:2">
      <c r="A133" t="s">
        <v>313</v>
      </c>
      <c r="B133" t="e">
        <v>#N/A</v>
      </c>
    </row>
    <row r="134" spans="1:2">
      <c r="A134" t="s">
        <v>314</v>
      </c>
      <c r="B134" t="e">
        <v>#N/A</v>
      </c>
    </row>
    <row r="135" spans="1:2">
      <c r="A135" t="s">
        <v>315</v>
      </c>
      <c r="B135" t="e">
        <v>#N/A</v>
      </c>
    </row>
    <row r="136" spans="1:2">
      <c r="A136" t="s">
        <v>113</v>
      </c>
      <c r="B136" t="e">
        <v>#N/A</v>
      </c>
    </row>
    <row r="137" spans="1:2">
      <c r="A137" t="s">
        <v>114</v>
      </c>
      <c r="B137" t="e">
        <v>#N/A</v>
      </c>
    </row>
    <row r="138" spans="1:2">
      <c r="A138" t="s">
        <v>115</v>
      </c>
      <c r="B138" t="e">
        <v>#N/A</v>
      </c>
    </row>
    <row r="139" spans="1:2">
      <c r="A139" t="s">
        <v>116</v>
      </c>
      <c r="B139" t="e">
        <v>#N/A</v>
      </c>
    </row>
    <row r="140" spans="1:2">
      <c r="A140" t="s">
        <v>117</v>
      </c>
      <c r="B140" t="e">
        <v>#N/A</v>
      </c>
    </row>
    <row r="141" spans="1:2">
      <c r="A141" t="s">
        <v>118</v>
      </c>
      <c r="B141" t="e">
        <v>#N/A</v>
      </c>
    </row>
    <row r="142" spans="1:2">
      <c r="A142" t="s">
        <v>169</v>
      </c>
      <c r="B142" t="e">
        <v>#N/A</v>
      </c>
    </row>
    <row r="143" spans="1:2">
      <c r="A143" t="s">
        <v>170</v>
      </c>
      <c r="B143" t="e">
        <v>#N/A</v>
      </c>
    </row>
    <row r="144" spans="1:2">
      <c r="A144" t="s">
        <v>171</v>
      </c>
      <c r="B144" t="e">
        <v>#N/A</v>
      </c>
    </row>
    <row r="145" spans="1:2">
      <c r="A145" t="s">
        <v>119</v>
      </c>
      <c r="B145" t="e">
        <v>#N/A</v>
      </c>
    </row>
    <row r="146" spans="1:2">
      <c r="A146" t="s">
        <v>172</v>
      </c>
      <c r="B146" t="e">
        <v>#N/A</v>
      </c>
    </row>
    <row r="147" spans="1:2">
      <c r="A147" t="s">
        <v>120</v>
      </c>
      <c r="B147" t="e">
        <v>#N/A</v>
      </c>
    </row>
    <row r="148" spans="1:2">
      <c r="A148" t="s">
        <v>121</v>
      </c>
      <c r="B148" t="e">
        <v>#N/A</v>
      </c>
    </row>
    <row r="149" spans="1:2">
      <c r="A149" t="s">
        <v>173</v>
      </c>
      <c r="B149" t="e">
        <v>#N/A</v>
      </c>
    </row>
    <row r="150" spans="1:2">
      <c r="A150" t="s">
        <v>122</v>
      </c>
      <c r="B150" t="e">
        <v>#N/A</v>
      </c>
    </row>
    <row r="151" spans="1:2">
      <c r="A151" t="s">
        <v>174</v>
      </c>
      <c r="B151" t="e">
        <v>#N/A</v>
      </c>
    </row>
    <row r="152" spans="1:2">
      <c r="A152" t="s">
        <v>123</v>
      </c>
      <c r="B152" t="e">
        <v>#N/A</v>
      </c>
    </row>
    <row r="153" spans="1:2">
      <c r="A153" t="s">
        <v>124</v>
      </c>
      <c r="B153" t="e">
        <v>#N/A</v>
      </c>
    </row>
    <row r="154" spans="1:2">
      <c r="A154" t="s">
        <v>125</v>
      </c>
      <c r="B154" t="e">
        <v>#N/A</v>
      </c>
    </row>
    <row r="155" spans="1:2">
      <c r="A155" t="s">
        <v>175</v>
      </c>
      <c r="B155" t="e">
        <v>#N/A</v>
      </c>
    </row>
    <row r="156" spans="1:2">
      <c r="A156" t="s">
        <v>126</v>
      </c>
      <c r="B156" t="e">
        <v>#N/A</v>
      </c>
    </row>
    <row r="157" spans="1:2">
      <c r="A157" t="s">
        <v>176</v>
      </c>
      <c r="B157" t="e">
        <v>#N/A</v>
      </c>
    </row>
    <row r="158" spans="1:2">
      <c r="A158" t="s">
        <v>177</v>
      </c>
      <c r="B158" t="e">
        <v>#N/A</v>
      </c>
    </row>
    <row r="159" spans="1:2">
      <c r="A159" t="s">
        <v>178</v>
      </c>
      <c r="B159" t="e">
        <v>#N/A</v>
      </c>
    </row>
    <row r="160" spans="1:2">
      <c r="A160" t="s">
        <v>127</v>
      </c>
      <c r="B160" t="e">
        <v>#N/A</v>
      </c>
    </row>
    <row r="161" spans="1:2">
      <c r="A161" t="s">
        <v>128</v>
      </c>
      <c r="B161" t="e">
        <v>#N/A</v>
      </c>
    </row>
    <row r="162" spans="1:2">
      <c r="A162" t="s">
        <v>179</v>
      </c>
      <c r="B162" t="e">
        <v>#N/A</v>
      </c>
    </row>
    <row r="163" spans="1:2">
      <c r="A163" t="s">
        <v>129</v>
      </c>
      <c r="B163" t="e">
        <v>#N/A</v>
      </c>
    </row>
    <row r="164" spans="1:2">
      <c r="A164" t="s">
        <v>130</v>
      </c>
      <c r="B164" t="e">
        <v>#N/A</v>
      </c>
    </row>
    <row r="165" spans="1:2">
      <c r="A165" t="s">
        <v>180</v>
      </c>
      <c r="B165" t="e">
        <v>#N/A</v>
      </c>
    </row>
    <row r="166" spans="1:2">
      <c r="A166" t="s">
        <v>181</v>
      </c>
      <c r="B166" t="e">
        <v>#N/A</v>
      </c>
    </row>
    <row r="167" spans="1:2">
      <c r="A167" t="s">
        <v>131</v>
      </c>
      <c r="B167" t="e">
        <v>#N/A</v>
      </c>
    </row>
    <row r="168" spans="1:2">
      <c r="A168" t="s">
        <v>132</v>
      </c>
      <c r="B168" t="e">
        <v>#N/A</v>
      </c>
    </row>
    <row r="169" spans="1:2">
      <c r="A169" t="s">
        <v>316</v>
      </c>
      <c r="B169" t="e">
        <v>#N/A</v>
      </c>
    </row>
    <row r="170" spans="1:2">
      <c r="A170" t="s">
        <v>317</v>
      </c>
      <c r="B170" t="e">
        <v>#N/A</v>
      </c>
    </row>
    <row r="171" spans="1:2">
      <c r="A171" t="s">
        <v>318</v>
      </c>
      <c r="B171" t="e">
        <v>#N/A</v>
      </c>
    </row>
    <row r="172" spans="1:2">
      <c r="A172" t="s">
        <v>319</v>
      </c>
      <c r="B172" t="e">
        <v>#N/A</v>
      </c>
    </row>
    <row r="173" spans="1:2">
      <c r="A173" t="s">
        <v>133</v>
      </c>
      <c r="B173" t="e">
        <v>#N/A</v>
      </c>
    </row>
    <row r="174" spans="1:2">
      <c r="A174" t="s">
        <v>320</v>
      </c>
      <c r="B174" t="e">
        <v>#N/A</v>
      </c>
    </row>
    <row r="175" spans="1:2">
      <c r="A175" t="s">
        <v>134</v>
      </c>
      <c r="B175" t="e">
        <v>#N/A</v>
      </c>
    </row>
    <row r="176" spans="1:2">
      <c r="A176" t="s">
        <v>135</v>
      </c>
      <c r="B176" t="e">
        <v>#N/A</v>
      </c>
    </row>
    <row r="177" spans="1:2">
      <c r="A177" t="s">
        <v>136</v>
      </c>
      <c r="B177" t="e">
        <v>#N/A</v>
      </c>
    </row>
    <row r="178" spans="1:2">
      <c r="A178" t="s">
        <v>137</v>
      </c>
      <c r="B178" t="e">
        <v>#N/A</v>
      </c>
    </row>
    <row r="179" spans="1:2">
      <c r="A179" t="s">
        <v>138</v>
      </c>
      <c r="B179" t="e">
        <v>#N/A</v>
      </c>
    </row>
    <row r="180" spans="1:2">
      <c r="A180" t="s">
        <v>139</v>
      </c>
      <c r="B180" t="e">
        <v>#N/A</v>
      </c>
    </row>
    <row r="181" spans="1:2">
      <c r="A181" t="s">
        <v>140</v>
      </c>
      <c r="B181" t="e">
        <v>#N/A</v>
      </c>
    </row>
    <row r="182" spans="1:2">
      <c r="A182" t="s">
        <v>321</v>
      </c>
      <c r="B182" t="e">
        <v>#N/A</v>
      </c>
    </row>
    <row r="183" spans="1:2">
      <c r="A183" t="s">
        <v>141</v>
      </c>
      <c r="B183" t="e">
        <v>#N/A</v>
      </c>
    </row>
    <row r="184" spans="1:2">
      <c r="A184" t="s">
        <v>142</v>
      </c>
      <c r="B184" t="e">
        <v>#N/A</v>
      </c>
    </row>
    <row r="185" spans="1:2">
      <c r="A185" t="s">
        <v>143</v>
      </c>
      <c r="B185" t="e">
        <v>#N/A</v>
      </c>
    </row>
    <row r="186" spans="1:2">
      <c r="A186" t="s">
        <v>144</v>
      </c>
      <c r="B186" t="e">
        <v>#N/A</v>
      </c>
    </row>
    <row r="187" spans="1:2">
      <c r="A187" t="s">
        <v>145</v>
      </c>
      <c r="B187" t="e">
        <v>#N/A</v>
      </c>
    </row>
    <row r="188" spans="1:2">
      <c r="A188" t="s">
        <v>322</v>
      </c>
      <c r="B188" t="e">
        <v>#N/A</v>
      </c>
    </row>
    <row r="189" spans="1:2">
      <c r="A189" t="s">
        <v>146</v>
      </c>
      <c r="B189" t="e">
        <v>#N/A</v>
      </c>
    </row>
    <row r="190" spans="1:2">
      <c r="A190" t="s">
        <v>147</v>
      </c>
      <c r="B190" t="e">
        <v>#N/A</v>
      </c>
    </row>
    <row r="191" spans="1:2">
      <c r="A191" t="s">
        <v>148</v>
      </c>
      <c r="B191" t="e">
        <v>#N/A</v>
      </c>
    </row>
    <row r="192" spans="1:2">
      <c r="A192" t="s">
        <v>149</v>
      </c>
      <c r="B192" t="e">
        <v>#N/A</v>
      </c>
    </row>
    <row r="193" spans="1:2">
      <c r="A193" t="s">
        <v>150</v>
      </c>
      <c r="B193" t="e">
        <v>#N/A</v>
      </c>
    </row>
    <row r="194" spans="1:2">
      <c r="A194" t="s">
        <v>151</v>
      </c>
      <c r="B194" t="e">
        <v>#N/A</v>
      </c>
    </row>
    <row r="195" spans="1:2">
      <c r="A195" t="s">
        <v>152</v>
      </c>
      <c r="B195" t="e">
        <v>#N/A</v>
      </c>
    </row>
    <row r="196" spans="1:2">
      <c r="A196" t="s">
        <v>153</v>
      </c>
      <c r="B196" t="e">
        <v>#N/A</v>
      </c>
    </row>
    <row r="197" spans="1:2">
      <c r="A197" t="s">
        <v>154</v>
      </c>
      <c r="B197" t="e">
        <v>#N/A</v>
      </c>
    </row>
    <row r="198" spans="1:2">
      <c r="A198" t="s">
        <v>155</v>
      </c>
      <c r="B198" t="e">
        <v>#N/A</v>
      </c>
    </row>
    <row r="199" spans="1:2">
      <c r="A199" t="s">
        <v>156</v>
      </c>
      <c r="B199" t="e">
        <v>#N/A</v>
      </c>
    </row>
    <row r="200" spans="1:2">
      <c r="A200" t="s">
        <v>157</v>
      </c>
      <c r="B200" t="e">
        <v>#N/A</v>
      </c>
    </row>
    <row r="201" spans="1:2">
      <c r="A201" t="s">
        <v>158</v>
      </c>
      <c r="B201" t="e">
        <v>#N/A</v>
      </c>
    </row>
    <row r="202" spans="1:2">
      <c r="A202" t="s">
        <v>159</v>
      </c>
      <c r="B202" t="e">
        <v>#N/A</v>
      </c>
    </row>
    <row r="203" spans="1:2">
      <c r="A203" t="s">
        <v>160</v>
      </c>
      <c r="B203" t="e">
        <v>#N/A</v>
      </c>
    </row>
    <row r="204" spans="1:2">
      <c r="A204" t="s">
        <v>161</v>
      </c>
      <c r="B204" t="e">
        <v>#N/A</v>
      </c>
    </row>
    <row r="205" spans="1:2">
      <c r="A205" t="s">
        <v>162</v>
      </c>
      <c r="B205" t="e">
        <v>#N/A</v>
      </c>
    </row>
    <row r="206" spans="1:2">
      <c r="A206" t="s">
        <v>163</v>
      </c>
      <c r="B206" t="e">
        <v>#N/A</v>
      </c>
    </row>
    <row r="207" spans="1:2">
      <c r="A207" t="s">
        <v>323</v>
      </c>
      <c r="B207" t="e">
        <v>#N/A</v>
      </c>
    </row>
    <row r="208" spans="1:2">
      <c r="A208" t="s">
        <v>324</v>
      </c>
      <c r="B208" t="e">
        <v>#N/A</v>
      </c>
    </row>
    <row r="209" spans="1:2">
      <c r="A209" t="s">
        <v>164</v>
      </c>
      <c r="B209" t="e">
        <v>#N/A</v>
      </c>
    </row>
    <row r="210" spans="1:2">
      <c r="A210" t="s">
        <v>165</v>
      </c>
      <c r="B210" t="e">
        <v>#N/A</v>
      </c>
    </row>
    <row r="211" spans="1:2">
      <c r="A211" t="s">
        <v>325</v>
      </c>
      <c r="B211" t="e">
        <v>#N/A</v>
      </c>
    </row>
    <row r="212" spans="1:2">
      <c r="A212" t="s">
        <v>326</v>
      </c>
      <c r="B212" t="e">
        <v>#N/A</v>
      </c>
    </row>
    <row r="213" spans="1:2">
      <c r="A213" t="s">
        <v>327</v>
      </c>
      <c r="B213" t="e">
        <v>#N/A</v>
      </c>
    </row>
    <row r="214" spans="1:2">
      <c r="A214" t="s">
        <v>166</v>
      </c>
      <c r="B214" t="e">
        <v>#N/A</v>
      </c>
    </row>
    <row r="215" spans="1:2">
      <c r="A215" t="s">
        <v>167</v>
      </c>
      <c r="B215" t="e">
        <v>#N/A</v>
      </c>
    </row>
    <row r="216" spans="1:2">
      <c r="A216" t="s">
        <v>328</v>
      </c>
      <c r="B216" t="e">
        <v>#N/A</v>
      </c>
    </row>
    <row r="217" spans="1:2">
      <c r="A217" t="s">
        <v>329</v>
      </c>
      <c r="B217" t="e">
        <v>#N/A</v>
      </c>
    </row>
    <row r="218" spans="1:2">
      <c r="A218" t="s">
        <v>330</v>
      </c>
      <c r="B218" t="e">
        <v>#N/A</v>
      </c>
    </row>
    <row r="219" spans="1:2">
      <c r="A219" t="s">
        <v>331</v>
      </c>
      <c r="B219" t="e">
        <v>#N/A</v>
      </c>
    </row>
    <row r="220" spans="1:2">
      <c r="A220" t="s">
        <v>332</v>
      </c>
      <c r="B220" t="e">
        <v>#N/A</v>
      </c>
    </row>
    <row r="221" spans="1:2">
      <c r="A221" t="s">
        <v>333</v>
      </c>
      <c r="B221" t="e">
        <v>#N/A</v>
      </c>
    </row>
    <row r="222" spans="1:2">
      <c r="A222" t="s">
        <v>334</v>
      </c>
      <c r="B222" t="e">
        <v>#N/A</v>
      </c>
    </row>
    <row r="223" spans="1:2">
      <c r="A223" t="s">
        <v>335</v>
      </c>
      <c r="B223" t="e">
        <v>#N/A</v>
      </c>
    </row>
    <row r="224" spans="1:2">
      <c r="A224" t="s">
        <v>336</v>
      </c>
      <c r="B224" t="e">
        <v>#N/A</v>
      </c>
    </row>
    <row r="225" spans="1:2">
      <c r="A225" t="s">
        <v>337</v>
      </c>
      <c r="B225" t="e">
        <v>#N/A</v>
      </c>
    </row>
    <row r="226" spans="1:2">
      <c r="A226" t="s">
        <v>338</v>
      </c>
      <c r="B226" t="e">
        <v>#N/A</v>
      </c>
    </row>
    <row r="227" spans="1:2">
      <c r="A227" t="s">
        <v>339</v>
      </c>
      <c r="B227" t="e">
        <v>#N/A</v>
      </c>
    </row>
    <row r="228" spans="1:2">
      <c r="A228" t="s">
        <v>340</v>
      </c>
      <c r="B228" t="e">
        <v>#N/A</v>
      </c>
    </row>
    <row r="229" spans="1:2">
      <c r="A229" t="s">
        <v>341</v>
      </c>
      <c r="B229" t="e">
        <v>#N/A</v>
      </c>
    </row>
    <row r="230" spans="1:2">
      <c r="A230" t="s">
        <v>342</v>
      </c>
      <c r="B230" t="e">
        <v>#N/A</v>
      </c>
    </row>
    <row r="231" spans="1:2">
      <c r="A231" t="s">
        <v>343</v>
      </c>
      <c r="B231" t="e">
        <v>#N/A</v>
      </c>
    </row>
    <row r="232" spans="1:2">
      <c r="A232" t="s">
        <v>344</v>
      </c>
      <c r="B232" t="e">
        <v>#N/A</v>
      </c>
    </row>
    <row r="233" spans="1:2">
      <c r="A233" t="s">
        <v>345</v>
      </c>
      <c r="B233" t="e">
        <v>#N/A</v>
      </c>
    </row>
    <row r="234" spans="1:2">
      <c r="A234" t="s">
        <v>346</v>
      </c>
      <c r="B234" t="e">
        <v>#N/A</v>
      </c>
    </row>
    <row r="235" spans="1:2">
      <c r="A235" t="s">
        <v>347</v>
      </c>
      <c r="B235" t="e">
        <v>#N/A</v>
      </c>
    </row>
    <row r="236" spans="1:2">
      <c r="A236" t="s">
        <v>348</v>
      </c>
      <c r="B236" t="e">
        <v>#N/A</v>
      </c>
    </row>
    <row r="237" spans="1:2">
      <c r="A237" t="s">
        <v>349</v>
      </c>
      <c r="B237" t="e">
        <v>#N/A</v>
      </c>
    </row>
    <row r="238" spans="1:2">
      <c r="A238" t="s">
        <v>350</v>
      </c>
      <c r="B238" t="e">
        <v>#N/A</v>
      </c>
    </row>
    <row r="239" spans="1:2">
      <c r="A239" t="s">
        <v>351</v>
      </c>
      <c r="B239" t="e">
        <v>#N/A</v>
      </c>
    </row>
    <row r="240" spans="1:2">
      <c r="A240" t="s">
        <v>352</v>
      </c>
      <c r="B240" t="e">
        <v>#N/A</v>
      </c>
    </row>
    <row r="241" spans="1:2">
      <c r="A241" t="s">
        <v>353</v>
      </c>
      <c r="B241" t="e">
        <v>#N/A</v>
      </c>
    </row>
    <row r="242" spans="1:2">
      <c r="A242" t="s">
        <v>354</v>
      </c>
      <c r="B242" t="e">
        <v>#N/A</v>
      </c>
    </row>
    <row r="243" spans="1:2">
      <c r="A243" t="s">
        <v>355</v>
      </c>
      <c r="B243" t="e">
        <v>#N/A</v>
      </c>
    </row>
    <row r="244" spans="1:2">
      <c r="A244" t="s">
        <v>356</v>
      </c>
      <c r="B244" t="e">
        <v>#N/A</v>
      </c>
    </row>
    <row r="245" spans="1:2">
      <c r="A245" t="s">
        <v>357</v>
      </c>
      <c r="B245" t="e">
        <v>#N/A</v>
      </c>
    </row>
    <row r="246" spans="1:2">
      <c r="A246" t="s">
        <v>358</v>
      </c>
      <c r="B246" t="e">
        <v>#N/A</v>
      </c>
    </row>
    <row r="247" spans="1:2">
      <c r="A247" t="s">
        <v>359</v>
      </c>
      <c r="B247" t="e">
        <v>#N/A</v>
      </c>
    </row>
    <row r="248" spans="1:2">
      <c r="A248" t="s">
        <v>360</v>
      </c>
      <c r="B248" t="e">
        <v>#N/A</v>
      </c>
    </row>
    <row r="249" spans="1:2">
      <c r="A249" t="s">
        <v>361</v>
      </c>
      <c r="B249" t="e">
        <v>#N/A</v>
      </c>
    </row>
    <row r="250" spans="1:2">
      <c r="A250" t="s">
        <v>362</v>
      </c>
      <c r="B250" t="e">
        <v>#N/A</v>
      </c>
    </row>
    <row r="251" spans="1:2">
      <c r="A251" t="s">
        <v>363</v>
      </c>
      <c r="B251" t="e">
        <v>#N/A</v>
      </c>
    </row>
    <row r="252" spans="1:2">
      <c r="A252" t="s">
        <v>364</v>
      </c>
      <c r="B252" t="e">
        <v>#N/A</v>
      </c>
    </row>
    <row r="253" spans="1:2">
      <c r="A253" t="s">
        <v>365</v>
      </c>
      <c r="B253" t="e">
        <v>#N/A</v>
      </c>
    </row>
    <row r="254" spans="1:2">
      <c r="A254" t="s">
        <v>366</v>
      </c>
      <c r="B254" t="e">
        <v>#N/A</v>
      </c>
    </row>
    <row r="255" spans="1:2">
      <c r="A255" t="s">
        <v>367</v>
      </c>
      <c r="B255" t="e">
        <v>#N/A</v>
      </c>
    </row>
    <row r="256" spans="1:2">
      <c r="A256" t="s">
        <v>368</v>
      </c>
      <c r="B256" t="e">
        <v>#N/A</v>
      </c>
    </row>
    <row r="257" spans="1:2">
      <c r="A257" t="s">
        <v>369</v>
      </c>
      <c r="B257" t="e">
        <v>#N/A</v>
      </c>
    </row>
    <row r="258" spans="1:2">
      <c r="A258" t="s">
        <v>370</v>
      </c>
      <c r="B258" t="e">
        <v>#N/A</v>
      </c>
    </row>
    <row r="259" spans="1:2">
      <c r="A259" t="s">
        <v>371</v>
      </c>
      <c r="B259" t="e">
        <v>#N/A</v>
      </c>
    </row>
    <row r="260" spans="1:2">
      <c r="A260" t="s">
        <v>372</v>
      </c>
      <c r="B260" t="e">
        <v>#N/A</v>
      </c>
    </row>
    <row r="261" spans="1:2">
      <c r="A261" t="s">
        <v>373</v>
      </c>
      <c r="B261" t="e">
        <v>#N/A</v>
      </c>
    </row>
    <row r="262" spans="1:2">
      <c r="A262" t="s">
        <v>374</v>
      </c>
      <c r="B262" t="e">
        <v>#N/A</v>
      </c>
    </row>
    <row r="263" spans="1:2">
      <c r="A263" t="s">
        <v>375</v>
      </c>
      <c r="B263" t="e">
        <v>#N/A</v>
      </c>
    </row>
    <row r="264" spans="1:2">
      <c r="A264" t="s">
        <v>376</v>
      </c>
      <c r="B264" t="e">
        <v>#N/A</v>
      </c>
    </row>
    <row r="265" spans="1:2">
      <c r="A265" t="s">
        <v>377</v>
      </c>
      <c r="B265" t="e">
        <v>#N/A</v>
      </c>
    </row>
    <row r="266" spans="1:2">
      <c r="A266" t="s">
        <v>378</v>
      </c>
      <c r="B266" t="e">
        <v>#N/A</v>
      </c>
    </row>
    <row r="267" spans="1:2">
      <c r="A267" t="s">
        <v>379</v>
      </c>
      <c r="B267" t="e">
        <v>#N/A</v>
      </c>
    </row>
    <row r="268" spans="1:2">
      <c r="A268" t="s">
        <v>380</v>
      </c>
      <c r="B268" t="e">
        <v>#N/A</v>
      </c>
    </row>
    <row r="269" spans="1:2">
      <c r="A269" t="s">
        <v>381</v>
      </c>
      <c r="B269" t="e">
        <v>#N/A</v>
      </c>
    </row>
    <row r="270" spans="1:2">
      <c r="A270" t="s">
        <v>382</v>
      </c>
      <c r="B270" t="e">
        <v>#N/A</v>
      </c>
    </row>
    <row r="271" spans="1:2">
      <c r="A271" t="s">
        <v>383</v>
      </c>
      <c r="B271" t="e">
        <v>#N/A</v>
      </c>
    </row>
    <row r="272" spans="1:2">
      <c r="A272" t="s">
        <v>384</v>
      </c>
      <c r="B272" t="e">
        <v>#N/A</v>
      </c>
    </row>
    <row r="273" spans="1:2">
      <c r="A273" t="s">
        <v>385</v>
      </c>
      <c r="B273" t="e">
        <v>#N/A</v>
      </c>
    </row>
    <row r="274" spans="1:2">
      <c r="A274" t="s">
        <v>386</v>
      </c>
      <c r="B274" t="e">
        <v>#N/A</v>
      </c>
    </row>
    <row r="275" spans="1:2">
      <c r="A275" t="s">
        <v>387</v>
      </c>
      <c r="B275" t="e">
        <v>#N/A</v>
      </c>
    </row>
    <row r="276" spans="1:2">
      <c r="A276" t="s">
        <v>388</v>
      </c>
      <c r="B276" t="e">
        <v>#N/A</v>
      </c>
    </row>
    <row r="277" spans="1:2">
      <c r="A277" t="s">
        <v>389</v>
      </c>
      <c r="B277" t="e">
        <v>#N/A</v>
      </c>
    </row>
    <row r="278" spans="1:2">
      <c r="A278" t="s">
        <v>390</v>
      </c>
      <c r="B278" t="e">
        <v>#N/A</v>
      </c>
    </row>
    <row r="279" spans="1:2">
      <c r="A279" t="s">
        <v>391</v>
      </c>
      <c r="B279" t="e">
        <v>#N/A</v>
      </c>
    </row>
    <row r="280" spans="1:2">
      <c r="A280" t="s">
        <v>392</v>
      </c>
      <c r="B280" t="e">
        <v>#N/A</v>
      </c>
    </row>
    <row r="281" spans="1:2">
      <c r="A281" t="s">
        <v>393</v>
      </c>
      <c r="B281" t="e">
        <v>#N/A</v>
      </c>
    </row>
    <row r="282" spans="1:2">
      <c r="A282" t="s">
        <v>394</v>
      </c>
      <c r="B282" t="e">
        <v>#N/A</v>
      </c>
    </row>
    <row r="283" spans="1:2">
      <c r="A283" t="s">
        <v>395</v>
      </c>
      <c r="B283" t="e">
        <v>#N/A</v>
      </c>
    </row>
    <row r="284" spans="1:2">
      <c r="A284" t="s">
        <v>396</v>
      </c>
      <c r="B284" t="e">
        <v>#N/A</v>
      </c>
    </row>
    <row r="285" spans="1:2">
      <c r="A285" t="s">
        <v>397</v>
      </c>
      <c r="B285" t="e">
        <v>#N/A</v>
      </c>
    </row>
    <row r="286" spans="1:2">
      <c r="A286" t="s">
        <v>398</v>
      </c>
      <c r="B286" t="e">
        <v>#N/A</v>
      </c>
    </row>
    <row r="287" spans="1:2">
      <c r="A287" t="s">
        <v>399</v>
      </c>
      <c r="B287" t="e">
        <v>#N/A</v>
      </c>
    </row>
    <row r="288" spans="1:2">
      <c r="A288" t="s">
        <v>400</v>
      </c>
      <c r="B288" t="e">
        <v>#N/A</v>
      </c>
    </row>
    <row r="289" spans="1:2">
      <c r="A289" t="s">
        <v>401</v>
      </c>
      <c r="B289" t="e">
        <v>#N/A</v>
      </c>
    </row>
    <row r="290" spans="1:2">
      <c r="A290" t="s">
        <v>402</v>
      </c>
      <c r="B290" t="e">
        <v>#N/A</v>
      </c>
    </row>
    <row r="291" spans="1:2">
      <c r="A291" t="s">
        <v>403</v>
      </c>
      <c r="B291" t="e">
        <v>#N/A</v>
      </c>
    </row>
    <row r="292" spans="1:2">
      <c r="A292" t="s">
        <v>404</v>
      </c>
      <c r="B292" t="e">
        <v>#N/A</v>
      </c>
    </row>
    <row r="293" spans="1:2">
      <c r="A293" t="s">
        <v>405</v>
      </c>
      <c r="B293" t="e">
        <v>#N/A</v>
      </c>
    </row>
    <row r="294" spans="1:2">
      <c r="A294" t="s">
        <v>406</v>
      </c>
      <c r="B294" t="e">
        <v>#N/A</v>
      </c>
    </row>
    <row r="295" spans="1:2">
      <c r="A295" t="s">
        <v>407</v>
      </c>
      <c r="B295" t="e">
        <v>#N/A</v>
      </c>
    </row>
    <row r="296" spans="1:2">
      <c r="A296" t="s">
        <v>408</v>
      </c>
      <c r="B296" t="e">
        <v>#N/A</v>
      </c>
    </row>
    <row r="297" spans="1:2">
      <c r="A297" t="s">
        <v>409</v>
      </c>
      <c r="B297" t="e">
        <v>#N/A</v>
      </c>
    </row>
    <row r="298" spans="1:2">
      <c r="A298" t="s">
        <v>410</v>
      </c>
      <c r="B298" t="e">
        <v>#N/A</v>
      </c>
    </row>
    <row r="299" spans="1:2">
      <c r="A299" t="s">
        <v>411</v>
      </c>
      <c r="B299" t="e">
        <v>#N/A</v>
      </c>
    </row>
    <row r="300" spans="1:2">
      <c r="A300" t="s">
        <v>412</v>
      </c>
      <c r="B300" t="e">
        <v>#N/A</v>
      </c>
    </row>
    <row r="301" spans="1:2">
      <c r="A301" t="s">
        <v>413</v>
      </c>
      <c r="B301" t="e">
        <v>#N/A</v>
      </c>
    </row>
    <row r="302" spans="1:2">
      <c r="A302" t="s">
        <v>414</v>
      </c>
      <c r="B302" t="e">
        <v>#N/A</v>
      </c>
    </row>
    <row r="303" spans="1:2">
      <c r="A303" t="s">
        <v>415</v>
      </c>
      <c r="B303" t="e">
        <v>#N/A</v>
      </c>
    </row>
    <row r="304" spans="1:2">
      <c r="A304" t="s">
        <v>416</v>
      </c>
      <c r="B304" t="e">
        <v>#N/A</v>
      </c>
    </row>
    <row r="305" spans="1:2">
      <c r="A305" t="s">
        <v>417</v>
      </c>
      <c r="B305" t="e">
        <v>#N/A</v>
      </c>
    </row>
    <row r="306" spans="1:2">
      <c r="A306" t="s">
        <v>418</v>
      </c>
      <c r="B306" t="e">
        <v>#N/A</v>
      </c>
    </row>
    <row r="307" spans="1:2">
      <c r="A307" t="s">
        <v>419</v>
      </c>
      <c r="B307" t="e">
        <v>#N/A</v>
      </c>
    </row>
    <row r="308" spans="1:2">
      <c r="A308" t="s">
        <v>420</v>
      </c>
      <c r="B308" t="e">
        <v>#N/A</v>
      </c>
    </row>
    <row r="309" spans="1:2">
      <c r="A309" t="s">
        <v>421</v>
      </c>
      <c r="B309" t="e">
        <v>#N/A</v>
      </c>
    </row>
    <row r="310" spans="1:2">
      <c r="A310" t="s">
        <v>422</v>
      </c>
      <c r="B310" t="e">
        <v>#N/A</v>
      </c>
    </row>
    <row r="311" spans="1:2">
      <c r="A311" t="s">
        <v>423</v>
      </c>
      <c r="B311" t="e">
        <v>#N/A</v>
      </c>
    </row>
    <row r="312" spans="1:2">
      <c r="A312" t="s">
        <v>424</v>
      </c>
      <c r="B312" t="e">
        <v>#N/A</v>
      </c>
    </row>
    <row r="313" spans="1:2">
      <c r="A313" t="s">
        <v>425</v>
      </c>
      <c r="B313" t="e">
        <v>#N/A</v>
      </c>
    </row>
    <row r="314" spans="1:2">
      <c r="A314" t="s">
        <v>426</v>
      </c>
      <c r="B314" t="e">
        <v>#N/A</v>
      </c>
    </row>
    <row r="315" spans="1:2">
      <c r="A315" t="s">
        <v>427</v>
      </c>
      <c r="B315" t="e">
        <v>#N/A</v>
      </c>
    </row>
    <row r="316" spans="1:2">
      <c r="A316" t="s">
        <v>428</v>
      </c>
      <c r="B316" t="e">
        <v>#N/A</v>
      </c>
    </row>
    <row r="317" spans="1:2">
      <c r="A317" t="s">
        <v>429</v>
      </c>
      <c r="B317" t="e">
        <v>#N/A</v>
      </c>
    </row>
    <row r="318" spans="1:2">
      <c r="A318" t="s">
        <v>430</v>
      </c>
      <c r="B318" t="e">
        <v>#N/A</v>
      </c>
    </row>
    <row r="319" spans="1:2">
      <c r="A319" t="s">
        <v>431</v>
      </c>
      <c r="B319" t="e">
        <v>#N/A</v>
      </c>
    </row>
    <row r="320" spans="1:2">
      <c r="A320" t="s">
        <v>432</v>
      </c>
      <c r="B320" t="e">
        <v>#N/A</v>
      </c>
    </row>
    <row r="321" spans="1:2">
      <c r="A321" t="s">
        <v>433</v>
      </c>
      <c r="B321" t="e">
        <v>#N/A</v>
      </c>
    </row>
    <row r="322" spans="1:2">
      <c r="A322" t="s">
        <v>434</v>
      </c>
      <c r="B322" t="e">
        <v>#N/A</v>
      </c>
    </row>
    <row r="323" spans="1:2">
      <c r="A323" t="s">
        <v>435</v>
      </c>
      <c r="B323" t="e">
        <v>#N/A</v>
      </c>
    </row>
    <row r="324" spans="1:2">
      <c r="A324" t="s">
        <v>436</v>
      </c>
      <c r="B324" t="e">
        <v>#N/A</v>
      </c>
    </row>
    <row r="325" spans="1:2">
      <c r="A325" t="s">
        <v>437</v>
      </c>
      <c r="B325" t="e">
        <v>#N/A</v>
      </c>
    </row>
    <row r="326" spans="1:2">
      <c r="A326" t="s">
        <v>438</v>
      </c>
      <c r="B326" t="e">
        <v>#N/A</v>
      </c>
    </row>
    <row r="327" spans="1:2">
      <c r="A327" t="s">
        <v>439</v>
      </c>
      <c r="B327" t="e">
        <v>#N/A</v>
      </c>
    </row>
    <row r="328" spans="1:2">
      <c r="A328" t="s">
        <v>440</v>
      </c>
      <c r="B328" t="e">
        <v>#N/A</v>
      </c>
    </row>
    <row r="329" spans="1:2">
      <c r="A329" t="s">
        <v>441</v>
      </c>
      <c r="B329" t="e">
        <v>#N/A</v>
      </c>
    </row>
    <row r="330" spans="1:2">
      <c r="A330" t="s">
        <v>442</v>
      </c>
      <c r="B330" t="e">
        <v>#N/A</v>
      </c>
    </row>
    <row r="331" spans="1:2">
      <c r="A331" t="s">
        <v>443</v>
      </c>
      <c r="B331" t="e">
        <v>#N/A</v>
      </c>
    </row>
    <row r="332" spans="1:2">
      <c r="A332" t="s">
        <v>444</v>
      </c>
      <c r="B332" t="e">
        <v>#N/A</v>
      </c>
    </row>
    <row r="333" spans="1:2">
      <c r="A333" t="s">
        <v>445</v>
      </c>
      <c r="B333" t="e">
        <v>#N/A</v>
      </c>
    </row>
    <row r="334" spans="1:2">
      <c r="A334" t="s">
        <v>446</v>
      </c>
      <c r="B334" t="e">
        <v>#N/A</v>
      </c>
    </row>
    <row r="335" spans="1:2">
      <c r="A335" t="s">
        <v>447</v>
      </c>
      <c r="B335" t="e">
        <v>#N/A</v>
      </c>
    </row>
    <row r="336" spans="1:2">
      <c r="A336" t="s">
        <v>448</v>
      </c>
      <c r="B336" t="e">
        <v>#N/A</v>
      </c>
    </row>
    <row r="337" spans="1:2">
      <c r="A337" t="s">
        <v>449</v>
      </c>
      <c r="B337" t="e">
        <v>#N/A</v>
      </c>
    </row>
    <row r="338" spans="1:2">
      <c r="A338" t="s">
        <v>450</v>
      </c>
      <c r="B338" t="e">
        <v>#N/A</v>
      </c>
    </row>
    <row r="339" spans="1:2">
      <c r="A339" t="s">
        <v>451</v>
      </c>
      <c r="B339" t="e">
        <v>#N/A</v>
      </c>
    </row>
    <row r="340" spans="1:2">
      <c r="A340" t="s">
        <v>452</v>
      </c>
      <c r="B340" t="e">
        <v>#N/A</v>
      </c>
    </row>
    <row r="341" spans="1:2">
      <c r="A341" t="s">
        <v>453</v>
      </c>
      <c r="B341" t="e">
        <v>#N/A</v>
      </c>
    </row>
    <row r="342" spans="1:2">
      <c r="A342" t="s">
        <v>454</v>
      </c>
      <c r="B342" t="e">
        <v>#N/A</v>
      </c>
    </row>
    <row r="343" spans="1:2">
      <c r="A343" t="s">
        <v>455</v>
      </c>
      <c r="B343" t="e">
        <v>#N/A</v>
      </c>
    </row>
    <row r="344" spans="1:2">
      <c r="A344" t="s">
        <v>456</v>
      </c>
      <c r="B344" t="e">
        <v>#N/A</v>
      </c>
    </row>
    <row r="345" spans="1:2">
      <c r="A345" t="s">
        <v>457</v>
      </c>
      <c r="B345" t="e">
        <v>#N/A</v>
      </c>
    </row>
    <row r="346" spans="1:2">
      <c r="A346" t="s">
        <v>458</v>
      </c>
      <c r="B346" t="e">
        <v>#N/A</v>
      </c>
    </row>
    <row r="347" spans="1:2">
      <c r="A347" t="s">
        <v>459</v>
      </c>
      <c r="B347" t="e">
        <v>#N/A</v>
      </c>
    </row>
    <row r="348" spans="1:2">
      <c r="A348" t="s">
        <v>460</v>
      </c>
      <c r="B348" t="e">
        <v>#N/A</v>
      </c>
    </row>
    <row r="349" spans="1:2">
      <c r="A349" t="s">
        <v>461</v>
      </c>
      <c r="B349" t="e">
        <v>#N/A</v>
      </c>
    </row>
    <row r="350" spans="1:2">
      <c r="A350" t="s">
        <v>462</v>
      </c>
      <c r="B350" t="e">
        <v>#N/A</v>
      </c>
    </row>
    <row r="351" spans="1:2">
      <c r="A351" t="s">
        <v>463</v>
      </c>
      <c r="B351" t="e">
        <v>#N/A</v>
      </c>
    </row>
    <row r="352" spans="1:2">
      <c r="A352" t="s">
        <v>311</v>
      </c>
      <c r="B352" t="s">
        <v>565</v>
      </c>
    </row>
    <row r="353" spans="1:2">
      <c r="A353" t="s">
        <v>312</v>
      </c>
      <c r="B353" t="s">
        <v>593</v>
      </c>
    </row>
    <row r="354" spans="1:2">
      <c r="A354" t="s">
        <v>595</v>
      </c>
      <c r="B354" t="s">
        <v>594</v>
      </c>
    </row>
    <row r="355" spans="1:2">
      <c r="A355" t="s">
        <v>607</v>
      </c>
      <c r="B355" t="s">
        <v>608</v>
      </c>
    </row>
    <row r="356" spans="1:2">
      <c r="A356" t="s">
        <v>609</v>
      </c>
      <c r="B356" t="s">
        <v>610</v>
      </c>
    </row>
  </sheetData>
  <autoFilter ref="A1:B354"/>
  <conditionalFormatting sqref="J4:J18">
    <cfRule type="duplicateValues" dxfId="0" priority="1"/>
  </conditionalFormatting>
  <dataValidations count="1">
    <dataValidation type="list" allowBlank="1" showInputMessage="1" showErrorMessage="1" sqref="A2:A56">
      <formula1>"Obra"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 24 375</vt:lpstr>
      <vt:lpstr>Obras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JHON JAMES FAJARDO RODAS</cp:lastModifiedBy>
  <dcterms:created xsi:type="dcterms:W3CDTF">2024-02-19T11:48:16Z</dcterms:created>
  <dcterms:modified xsi:type="dcterms:W3CDTF">2024-06-21T07:00:34Z</dcterms:modified>
</cp:coreProperties>
</file>