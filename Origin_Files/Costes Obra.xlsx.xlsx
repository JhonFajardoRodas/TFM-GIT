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X530\Desktop\TFM-GIT\Origin_Files\"/>
    </mc:Choice>
  </mc:AlternateContent>
  <xr:revisionPtr revIDLastSave="0" documentId="13_ncr:1_{EFA44EB8-9EA5-450D-B749-B57DA7A88CEA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EXCEL" sheetId="1" r:id="rId1"/>
  </sheets>
  <definedNames>
    <definedName name="_xlnm._FilterDatabase" localSheetId="0" hidden="1">EXCEL!$A$4:$BI$96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5" i="1"/>
</calcChain>
</file>

<file path=xl/sharedStrings.xml><?xml version="1.0" encoding="utf-8"?>
<sst xmlns="http://schemas.openxmlformats.org/spreadsheetml/2006/main" count="614" uniqueCount="256">
  <si>
    <t>Costes Obra</t>
  </si>
  <si>
    <t>#</t>
  </si>
  <si>
    <t>Centro</t>
  </si>
  <si>
    <t>Nombre Obra</t>
  </si>
  <si>
    <t>Obra</t>
  </si>
  <si>
    <t>Jefe Obra</t>
  </si>
  <si>
    <t>Fact. (Mes)</t>
  </si>
  <si>
    <t>Prod. (Mes)</t>
  </si>
  <si>
    <t>Prod. OK</t>
  </si>
  <si>
    <t>Prod. Metida</t>
  </si>
  <si>
    <t>Prod. Curso Mes+Origen</t>
  </si>
  <si>
    <t>Coste Total (Mes)</t>
  </si>
  <si>
    <t>Variación Costes Ayer</t>
  </si>
  <si>
    <t>Coste Directo (Mes)</t>
  </si>
  <si>
    <t>Coste Indirecto (Mes)</t>
  </si>
  <si>
    <t>Aportación (Mes)</t>
  </si>
  <si>
    <t>Margen (Mes)</t>
  </si>
  <si>
    <t>Obra Liquidada (Mes)</t>
  </si>
  <si>
    <t>Costo Liquidado (Mes)</t>
  </si>
  <si>
    <t>Costo Comprometido (Mes)</t>
  </si>
  <si>
    <t>Porcentaje Indirecto</t>
  </si>
  <si>
    <t>Coste Total Año</t>
  </si>
  <si>
    <t>Coste Total Mes+Año</t>
  </si>
  <si>
    <t>Coste Total Origen</t>
  </si>
  <si>
    <t>Coste Total Mes+Origen</t>
  </si>
  <si>
    <t>Coste Directo Año</t>
  </si>
  <si>
    <t>Coste Directo Mes+Año</t>
  </si>
  <si>
    <t>Coste Directo Origen</t>
  </si>
  <si>
    <t>Coste Directo Mes+Origen</t>
  </si>
  <si>
    <t>Coste Indirecto Año</t>
  </si>
  <si>
    <t>Coste Indirecto Mes+Año</t>
  </si>
  <si>
    <t>Coste Indirecto Origen</t>
  </si>
  <si>
    <t>Coste Indirecto Mes+Origen</t>
  </si>
  <si>
    <t>Prod. Año</t>
  </si>
  <si>
    <t>Prod. Mes+Año</t>
  </si>
  <si>
    <t>Prod. Origen</t>
  </si>
  <si>
    <t>Prod. Mes+Origen</t>
  </si>
  <si>
    <t>Fact. Año</t>
  </si>
  <si>
    <t>Fact. Mes+Año</t>
  </si>
  <si>
    <t>Fact. Origen</t>
  </si>
  <si>
    <t>Fact. Mes+Origen</t>
  </si>
  <si>
    <t>Margen Año</t>
  </si>
  <si>
    <t>Margen Mes+Año</t>
  </si>
  <si>
    <t>Margen Origen</t>
  </si>
  <si>
    <t>Margen Mes+Origen</t>
  </si>
  <si>
    <t>Aportación Año</t>
  </si>
  <si>
    <t>Aportación Mes+Año</t>
  </si>
  <si>
    <t>Aportación Origen</t>
  </si>
  <si>
    <t>Aportación Mes+Origen</t>
  </si>
  <si>
    <t>Prod. Curso Mes</t>
  </si>
  <si>
    <t>Prod. Curso Año</t>
  </si>
  <si>
    <t>Prod. Curso Mes+Año</t>
  </si>
  <si>
    <t>Prod. Curso Origen</t>
  </si>
  <si>
    <t>Diferencia Producción AS400 (Mes)</t>
  </si>
  <si>
    <t>Prov. Mes</t>
  </si>
  <si>
    <t>Prov. Año</t>
  </si>
  <si>
    <t>Prov. Origen</t>
  </si>
  <si>
    <t>Prov. Mes+Año</t>
  </si>
  <si>
    <t>Prov. Mes+Origen</t>
  </si>
  <si>
    <t>375</t>
  </si>
  <si>
    <t>VODAFONE ONO INGENIERIA</t>
  </si>
  <si>
    <t>00100</t>
  </si>
  <si>
    <t>FAJARDO RODAS JHON JAMES</t>
  </si>
  <si>
    <t>NETWORK DAT MANAGER 2022</t>
  </si>
  <si>
    <t>00101</t>
  </si>
  <si>
    <t>VDF SERV ING 2022</t>
  </si>
  <si>
    <t>00102</t>
  </si>
  <si>
    <t>VDF SOPORTE GIS 2022</t>
  </si>
  <si>
    <t>00103</t>
  </si>
  <si>
    <t>VDF ONO ING</t>
  </si>
  <si>
    <t>00104</t>
  </si>
  <si>
    <t>VDF SOPORTE SUC 2022</t>
  </si>
  <si>
    <t>00105</t>
  </si>
  <si>
    <t>RODRIGUEZ MUÑOZ, JORGE</t>
  </si>
  <si>
    <t>VDF ESPAÑA INGENIERIA</t>
  </si>
  <si>
    <t>00200</t>
  </si>
  <si>
    <t>VDF ING 2022</t>
  </si>
  <si>
    <t>00201</t>
  </si>
  <si>
    <t>VDF ESPAÑA ING</t>
  </si>
  <si>
    <t>00202</t>
  </si>
  <si>
    <t>ING AMERICAN TOWERS ESP.</t>
  </si>
  <si>
    <t>00900</t>
  </si>
  <si>
    <t>DIAZ MARTIN EDUARDO</t>
  </si>
  <si>
    <t>ING AMERICAN TOWERS</t>
  </si>
  <si>
    <t>00901</t>
  </si>
  <si>
    <t>MASMOVIL INGENIERIA</t>
  </si>
  <si>
    <t>01100</t>
  </si>
  <si>
    <t>MASMOVIL CONSERV R1</t>
  </si>
  <si>
    <t>01101</t>
  </si>
  <si>
    <t>MASMOVIL EFICIENCIA R1</t>
  </si>
  <si>
    <t>01102</t>
  </si>
  <si>
    <t>MASMOVIL CONSERV R3</t>
  </si>
  <si>
    <t>01103</t>
  </si>
  <si>
    <t>MASMOVIL EFICIENCIA R3</t>
  </si>
  <si>
    <t>01104</t>
  </si>
  <si>
    <t>MASMOVIL DESPLIEGUE 23</t>
  </si>
  <si>
    <t>01105</t>
  </si>
  <si>
    <t>MASMOVIL SSPP 2023</t>
  </si>
  <si>
    <t>01106</t>
  </si>
  <si>
    <t>MASMOVIL ING</t>
  </si>
  <si>
    <t>01107</t>
  </si>
  <si>
    <t>MM EFICIENCIA R4</t>
  </si>
  <si>
    <t>01108</t>
  </si>
  <si>
    <t>HUAWEI INGENIERIA</t>
  </si>
  <si>
    <t>01200</t>
  </si>
  <si>
    <t>HUAWEI ING TESA (P.PROP)</t>
  </si>
  <si>
    <t>01201</t>
  </si>
  <si>
    <t>HUAWEI ING (P. AJENO)</t>
  </si>
  <si>
    <t>01202</t>
  </si>
  <si>
    <t>MM ING UNICO</t>
  </si>
  <si>
    <t>01300</t>
  </si>
  <si>
    <t>MM ING UNICO P PROPIO</t>
  </si>
  <si>
    <t>01301</t>
  </si>
  <si>
    <t>MM ING UNICO P AJENO</t>
  </si>
  <si>
    <t>01302</t>
  </si>
  <si>
    <t>CGM INGENIERIA</t>
  </si>
  <si>
    <t>01500</t>
  </si>
  <si>
    <t>CGM ING ERICSSON P PROPI</t>
  </si>
  <si>
    <t>01501</t>
  </si>
  <si>
    <t>CGM ING ERICSSON P AJENO</t>
  </si>
  <si>
    <t>01502</t>
  </si>
  <si>
    <t>CGM ING HUAWEI P PROPIO</t>
  </si>
  <si>
    <t>01503</t>
  </si>
  <si>
    <t>CGM ING HUAWEI P AJENO</t>
  </si>
  <si>
    <t>01504</t>
  </si>
  <si>
    <t>XENET INGENIERIA</t>
  </si>
  <si>
    <t>01600</t>
  </si>
  <si>
    <t>XENET ING P.PROPIO</t>
  </si>
  <si>
    <t>01601</t>
  </si>
  <si>
    <t>XENET ING. SUC</t>
  </si>
  <si>
    <t>01602</t>
  </si>
  <si>
    <t>MASSBUSINESS FTTH ING.</t>
  </si>
  <si>
    <t>01700</t>
  </si>
  <si>
    <t>INGENIERIA UNICO</t>
  </si>
  <si>
    <t>01701</t>
  </si>
  <si>
    <t>INGENIERIA CONSERVACION</t>
  </si>
  <si>
    <t>01702</t>
  </si>
  <si>
    <t>01703</t>
  </si>
  <si>
    <t>FIBRECO FTTH INGENIERIA</t>
  </si>
  <si>
    <t>01800</t>
  </si>
  <si>
    <t>01801</t>
  </si>
  <si>
    <t>01802</t>
  </si>
  <si>
    <t>OFICINA TECNICA</t>
  </si>
  <si>
    <t>01803</t>
  </si>
  <si>
    <t>AXENT INGENIERIA</t>
  </si>
  <si>
    <t>01900</t>
  </si>
  <si>
    <t>AXENT INGENIERIA SUC</t>
  </si>
  <si>
    <t>01901</t>
  </si>
  <si>
    <t>AXENT PROYECTOS</t>
  </si>
  <si>
    <t>01902</t>
  </si>
  <si>
    <t>ORANGE ESPAÑA INGENIERIA</t>
  </si>
  <si>
    <t>10000</t>
  </si>
  <si>
    <t>ORANGE ESPAGNE - INGENIE</t>
  </si>
  <si>
    <t>10001</t>
  </si>
  <si>
    <t>ORNG ING NNPP</t>
  </si>
  <si>
    <t>10002</t>
  </si>
  <si>
    <t>ORANGE FTTN NORTE</t>
  </si>
  <si>
    <t>10003</t>
  </si>
  <si>
    <t>ORANGE FTTN CENTRO</t>
  </si>
  <si>
    <t>10004</t>
  </si>
  <si>
    <t>ORANGE FTTH NORTE</t>
  </si>
  <si>
    <t>10005</t>
  </si>
  <si>
    <t>ORANGE FTTH CENTRO</t>
  </si>
  <si>
    <t>10006</t>
  </si>
  <si>
    <t>ORANGE SUC</t>
  </si>
  <si>
    <t>10007</t>
  </si>
  <si>
    <t>INGENIERÍA ORANGE ESPAÑA</t>
  </si>
  <si>
    <t>10100</t>
  </si>
  <si>
    <t>10101</t>
  </si>
  <si>
    <t>ORANG FTTH NORTE</t>
  </si>
  <si>
    <t>10102</t>
  </si>
  <si>
    <t>ORANGE OFIC. TECNÍCA</t>
  </si>
  <si>
    <t>10103</t>
  </si>
  <si>
    <t>10104</t>
  </si>
  <si>
    <t>10105</t>
  </si>
  <si>
    <t>10106</t>
  </si>
  <si>
    <t>10107</t>
  </si>
  <si>
    <t>EUSKALTEL INGENIERIA</t>
  </si>
  <si>
    <t>10300</t>
  </si>
  <si>
    <t>EUSKAKTEL ING</t>
  </si>
  <si>
    <t>10301</t>
  </si>
  <si>
    <t>MASMOVIL CONSERV EUSKADI</t>
  </si>
  <si>
    <t>10302</t>
  </si>
  <si>
    <t>MASMOVIL EFIC EUSKADI</t>
  </si>
  <si>
    <t>10303</t>
  </si>
  <si>
    <t>ORANGE ING BBVA</t>
  </si>
  <si>
    <t>10400</t>
  </si>
  <si>
    <t>10401</t>
  </si>
  <si>
    <t>10402</t>
  </si>
  <si>
    <t>ORANG ING PED CAIXABANK</t>
  </si>
  <si>
    <t>10600</t>
  </si>
  <si>
    <t>10601</t>
  </si>
  <si>
    <t>10602</t>
  </si>
  <si>
    <t>REDE ABERTA DESPLIEGUE F</t>
  </si>
  <si>
    <t>11200</t>
  </si>
  <si>
    <t>REDE ABERTA ING P. PROP.</t>
  </si>
  <si>
    <t>11201</t>
  </si>
  <si>
    <t>REDE ABERTA ING P. AJENO</t>
  </si>
  <si>
    <t>11202</t>
  </si>
  <si>
    <t>REDE ABERTA SUC</t>
  </si>
  <si>
    <t>11203</t>
  </si>
  <si>
    <t>XFERA  INGENIERIA</t>
  </si>
  <si>
    <t>11600</t>
  </si>
  <si>
    <t>XFERA INGENIERIA</t>
  </si>
  <si>
    <t>11601</t>
  </si>
  <si>
    <t>NASERTIC INGENIERIA</t>
  </si>
  <si>
    <t>12100</t>
  </si>
  <si>
    <t>12101</t>
  </si>
  <si>
    <t>INTEROUTE</t>
  </si>
  <si>
    <t>12200</t>
  </si>
  <si>
    <t>INTEROUTE INGENIERIA</t>
  </si>
  <si>
    <t>12201</t>
  </si>
  <si>
    <t>R CABLE INGENIERIA</t>
  </si>
  <si>
    <t>12300</t>
  </si>
  <si>
    <t>R CABLE SSPP 2022IL CON</t>
  </si>
  <si>
    <t>12301</t>
  </si>
  <si>
    <t>MASMOVIL CONSE ASTURIAS</t>
  </si>
  <si>
    <t>12302</t>
  </si>
  <si>
    <t>MASMOVIL EFIC. ASTURIAS</t>
  </si>
  <si>
    <t>12303</t>
  </si>
  <si>
    <t>NO USO MOVILES</t>
  </si>
  <si>
    <t>88800</t>
  </si>
  <si>
    <t>MOVILES INGENIERIA</t>
  </si>
  <si>
    <t>88900</t>
  </si>
  <si>
    <t>OFIC COMERCIAL INGEN</t>
  </si>
  <si>
    <t>93100</t>
  </si>
  <si>
    <t>OFICINA COMERCIAL RADIO</t>
  </si>
  <si>
    <t>93200</t>
  </si>
  <si>
    <t>RETROFIT EKT INDIERECTOS</t>
  </si>
  <si>
    <t>96300</t>
  </si>
  <si>
    <t>VEHICULOS</t>
  </si>
  <si>
    <t>99900</t>
  </si>
  <si>
    <t>OBRA USO INTERNO GAO (NO BORRAR)</t>
  </si>
  <si>
    <t>99999</t>
  </si>
  <si>
    <t>Cod. Obra</t>
  </si>
  <si>
    <t>CLIENTE</t>
  </si>
  <si>
    <t>PROYECTO</t>
  </si>
  <si>
    <t>SERVICIOS INGENIERIA</t>
  </si>
  <si>
    <t>NETWORK DATA MANAGER</t>
  </si>
  <si>
    <t>SOPORTE APLICACIONES</t>
  </si>
  <si>
    <t>VODAFONE INGENIERÍA  FIJA</t>
  </si>
  <si>
    <t>REDE ABERTA</t>
  </si>
  <si>
    <t>DISEÑO FTTH REDE ABERTA</t>
  </si>
  <si>
    <t>INGENIERIA OTROS CLIENTES</t>
  </si>
  <si>
    <t>XENET</t>
  </si>
  <si>
    <t>OTROS</t>
  </si>
  <si>
    <t>MASMOVIL</t>
  </si>
  <si>
    <t>CONSERVACION/ AMPLIACIONES</t>
  </si>
  <si>
    <t>CONSERVACION EFICIENCIA</t>
  </si>
  <si>
    <t>SSPP INGENIERIA</t>
  </si>
  <si>
    <t>ORANGE</t>
  </si>
  <si>
    <t>DESPLIEGUE PEBA UNICO 2024-2025</t>
  </si>
  <si>
    <t>NASERTIC</t>
  </si>
  <si>
    <t>INTERNO CENTRO</t>
  </si>
  <si>
    <t>OTROS INTERNO</t>
  </si>
  <si>
    <t>CGM PROYECTO FARO TELEFONICA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</si>
</sst>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B5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" fontId="1" fillId="2" borderId="0" xfId="0" applyNumberFormat="1" applyFont="1" applyFill="1" applyAlignment="1">
      <alignment horizontal="right"/>
    </xf>
    <xf numFmtId="0" fontId="0" fillId="0" borderId="1" xfId="0" applyBorder="1"/>
    <xf numFmtId="49" fontId="0" fillId="0" borderId="1" xfId="0" applyNumberFormat="1" applyBorder="1"/>
    <xf numFmtId="4" fontId="0" fillId="0" borderId="1" xfId="0" applyNumberFormat="1" applyBorder="1" applyAlignment="1">
      <alignment horizontal="right"/>
    </xf>
    <xf numFmtId="0" fontId="2" fillId="0" borderId="0" xfId="0" applyFont="1"/>
    <xf numFmtId="0" fontId="0" fillId="0" borderId="0" xfId="0" applyNumberFormat="1"/>
    <xf numFmtId="0" fontId="1" fillId="2" borderId="0" xfId="0" applyNumberFormat="1" applyFont="1" applyFill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96"/>
  <sheetViews>
    <sheetView tabSelected="1" workbookViewId="0">
      <selection activeCell="C25" sqref="C25:D27"/>
    </sheetView>
  </sheetViews>
  <sheetFormatPr baseColWidth="10" defaultColWidth="8.88671875" defaultRowHeight="14.4" x14ac:dyDescent="0.3"/>
  <cols>
    <col min="1" max="1" width="9.109375" customWidth="1"/>
    <col min="2" max="2" width="17.21875" customWidth="1"/>
    <col min="3" max="3" width="26" bestFit="1" customWidth="1"/>
    <col min="4" max="4" width="29.5546875" bestFit="1" customWidth="1"/>
    <col min="5" max="5" width="17.21875" style="8" customWidth="1"/>
    <col min="6" max="6" width="36.21875" customWidth="1"/>
    <col min="7" max="7" width="9.109375" customWidth="1"/>
    <col min="8" max="8" width="27.88671875" customWidth="1"/>
    <col min="9" max="9" width="15.109375" customWidth="1"/>
    <col min="10" max="10" width="15" customWidth="1"/>
    <col min="11" max="11" width="13.6640625" customWidth="1"/>
    <col min="12" max="12" width="17.5546875" customWidth="1"/>
    <col min="13" max="13" width="28.33203125" customWidth="1"/>
    <col min="14" max="14" width="9.88671875" customWidth="1"/>
    <col min="15" max="15" width="13.88671875" customWidth="1"/>
    <col min="16" max="16" width="16.33203125" customWidth="1"/>
    <col min="17" max="17" width="17.77734375" customWidth="1"/>
    <col min="18" max="18" width="14.6640625" customWidth="1"/>
    <col min="19" max="19" width="11.88671875" customWidth="1"/>
    <col min="20" max="20" width="17.77734375" customWidth="1"/>
    <col min="21" max="21" width="18.5546875" customWidth="1"/>
    <col min="22" max="22" width="23.21875" customWidth="1"/>
    <col min="23" max="23" width="18.77734375" customWidth="1"/>
    <col min="24" max="24" width="10.6640625" customWidth="1"/>
    <col min="25" max="25" width="16.6640625" customWidth="1"/>
    <col min="26" max="26" width="12" customWidth="1"/>
    <col min="27" max="27" width="18.109375" customWidth="1"/>
    <col min="28" max="28" width="17" customWidth="1"/>
    <col min="29" max="29" width="23.109375" customWidth="1"/>
    <col min="30" max="30" width="18.44140625" customWidth="1"/>
    <col min="31" max="31" width="24.44140625" customWidth="1"/>
    <col min="32" max="32" width="18.5546875" customWidth="1"/>
    <col min="33" max="33" width="24.5546875" customWidth="1"/>
    <col min="34" max="34" width="19.88671875" customWidth="1"/>
    <col min="35" max="35" width="26" customWidth="1"/>
    <col min="36" max="36" width="15.77734375" customWidth="1"/>
    <col min="37" max="37" width="21.88671875" customWidth="1"/>
    <col min="38" max="38" width="17.21875" customWidth="1"/>
    <col min="39" max="39" width="23.21875" customWidth="1"/>
    <col min="40" max="40" width="15.77734375" customWidth="1"/>
    <col min="41" max="41" width="21.88671875" customWidth="1"/>
    <col min="42" max="42" width="17.21875" customWidth="1"/>
    <col min="43" max="43" width="23.33203125" customWidth="1"/>
    <col min="44" max="44" width="12.6640625" customWidth="1"/>
    <col min="45" max="45" width="18.6640625" customWidth="1"/>
    <col min="46" max="46" width="14" customWidth="1"/>
    <col min="47" max="47" width="20.109375" customWidth="1"/>
    <col min="48" max="48" width="15.44140625" customWidth="1"/>
    <col min="49" max="49" width="21.44140625" customWidth="1"/>
    <col min="50" max="50" width="16.77734375" customWidth="1"/>
    <col min="51" max="51" width="22.88671875" customWidth="1"/>
    <col min="52" max="52" width="20.109375" customWidth="1"/>
    <col min="53" max="53" width="20.77734375" customWidth="1"/>
    <col min="54" max="54" width="26.88671875" customWidth="1"/>
    <col min="55" max="55" width="22.21875" customWidth="1"/>
    <col min="56" max="56" width="29.33203125" customWidth="1"/>
    <col min="57" max="57" width="13.21875" customWidth="1"/>
    <col min="58" max="58" width="14" customWidth="1"/>
    <col min="59" max="59" width="15.44140625" customWidth="1"/>
    <col min="60" max="60" width="20.109375" customWidth="1"/>
    <col min="61" max="61" width="21.44140625" customWidth="1"/>
  </cols>
  <sheetData>
    <row r="2" spans="1:61" ht="25.8" x14ac:dyDescent="0.5">
      <c r="A2" s="7" t="s">
        <v>0</v>
      </c>
    </row>
    <row r="4" spans="1:61" x14ac:dyDescent="0.3">
      <c r="A4" s="1" t="s">
        <v>1</v>
      </c>
      <c r="B4" s="2" t="s">
        <v>2</v>
      </c>
      <c r="C4" s="2" t="s">
        <v>235</v>
      </c>
      <c r="D4" s="2" t="s">
        <v>236</v>
      </c>
      <c r="E4" s="9" t="s">
        <v>234</v>
      </c>
      <c r="F4" s="2" t="s">
        <v>3</v>
      </c>
      <c r="G4" s="2" t="s">
        <v>4</v>
      </c>
      <c r="H4" s="2" t="s">
        <v>5</v>
      </c>
      <c r="I4" s="3" t="s">
        <v>6</v>
      </c>
      <c r="J4" s="3" t="s">
        <v>7</v>
      </c>
      <c r="K4" s="1" t="s">
        <v>8</v>
      </c>
      <c r="L4" s="1" t="s">
        <v>9</v>
      </c>
      <c r="M4" s="3" t="s">
        <v>10</v>
      </c>
      <c r="N4" s="3" t="s">
        <v>11</v>
      </c>
      <c r="O4" s="1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  <c r="AF4" s="3" t="s">
        <v>29</v>
      </c>
      <c r="AG4" s="3" t="s">
        <v>30</v>
      </c>
      <c r="AH4" s="3" t="s">
        <v>31</v>
      </c>
      <c r="AI4" s="3" t="s">
        <v>32</v>
      </c>
      <c r="AJ4" s="3" t="s">
        <v>33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1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</row>
    <row r="5" spans="1:61" x14ac:dyDescent="0.3">
      <c r="A5" s="4">
        <v>1</v>
      </c>
      <c r="B5" s="5" t="s">
        <v>59</v>
      </c>
      <c r="C5" s="5" t="s">
        <v>240</v>
      </c>
      <c r="D5" s="5" t="s">
        <v>237</v>
      </c>
      <c r="E5" s="10" t="str">
        <f>_xlfn.CONCAT(B5,"-",G5)</f>
        <v>375-00100</v>
      </c>
      <c r="F5" s="5" t="s">
        <v>60</v>
      </c>
      <c r="G5" s="5" t="s">
        <v>61</v>
      </c>
      <c r="H5" s="5" t="s">
        <v>62</v>
      </c>
      <c r="I5" s="6">
        <v>0</v>
      </c>
      <c r="J5" s="6">
        <v>0</v>
      </c>
      <c r="K5" s="4" t="b">
        <v>0</v>
      </c>
      <c r="L5" s="4" t="b">
        <v>0</v>
      </c>
      <c r="M5" s="6">
        <v>0</v>
      </c>
      <c r="N5" s="6">
        <v>0</v>
      </c>
      <c r="O5" s="4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14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4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</row>
    <row r="6" spans="1:61" x14ac:dyDescent="0.3">
      <c r="A6" s="4">
        <v>2</v>
      </c>
      <c r="B6" s="5" t="s">
        <v>59</v>
      </c>
      <c r="C6" s="5" t="s">
        <v>240</v>
      </c>
      <c r="D6" s="5" t="s">
        <v>238</v>
      </c>
      <c r="E6" s="10" t="str">
        <f t="shared" ref="E6:E69" si="0">_xlfn.CONCAT(B6,"-",G6)</f>
        <v>375-00101</v>
      </c>
      <c r="F6" s="5" t="s">
        <v>63</v>
      </c>
      <c r="G6" s="5" t="s">
        <v>64</v>
      </c>
      <c r="H6" s="5" t="s">
        <v>62</v>
      </c>
      <c r="I6" s="6">
        <v>18179.63</v>
      </c>
      <c r="J6" s="6">
        <v>18179.63</v>
      </c>
      <c r="K6" s="4" t="b">
        <v>1</v>
      </c>
      <c r="L6" s="4" t="b">
        <v>1</v>
      </c>
      <c r="M6" s="6">
        <v>0</v>
      </c>
      <c r="N6" s="6">
        <v>23494.52</v>
      </c>
      <c r="O6" s="4">
        <v>0</v>
      </c>
      <c r="P6" s="6">
        <v>20718.490000000002</v>
      </c>
      <c r="Q6" s="6">
        <v>2776.03</v>
      </c>
      <c r="R6" s="6">
        <v>-5314.8899999999994</v>
      </c>
      <c r="S6" s="6">
        <v>-29.235413482012557</v>
      </c>
      <c r="T6" s="6">
        <v>18179.63</v>
      </c>
      <c r="U6" s="6">
        <v>23494.52</v>
      </c>
      <c r="V6" s="6">
        <v>0</v>
      </c>
      <c r="W6" s="6">
        <v>14</v>
      </c>
      <c r="X6" s="6">
        <v>127056.94</v>
      </c>
      <c r="Y6" s="6">
        <v>150551.46</v>
      </c>
      <c r="Z6" s="6">
        <v>951785.93</v>
      </c>
      <c r="AA6" s="6">
        <v>975280.45000000007</v>
      </c>
      <c r="AB6" s="6">
        <v>111381.06</v>
      </c>
      <c r="AC6" s="6">
        <v>132099.54999999999</v>
      </c>
      <c r="AD6" s="6">
        <v>812180.78</v>
      </c>
      <c r="AE6" s="6">
        <v>832899.27</v>
      </c>
      <c r="AF6" s="6">
        <v>15675.88</v>
      </c>
      <c r="AG6" s="6">
        <v>18451.91</v>
      </c>
      <c r="AH6" s="6">
        <v>139605.15</v>
      </c>
      <c r="AI6" s="6">
        <v>142381.18</v>
      </c>
      <c r="AJ6" s="6">
        <v>102658.09</v>
      </c>
      <c r="AK6" s="6">
        <v>120837.72</v>
      </c>
      <c r="AL6" s="6">
        <v>1050737.96</v>
      </c>
      <c r="AM6" s="6">
        <v>1068917.5899999999</v>
      </c>
      <c r="AN6" s="6">
        <v>102658.09</v>
      </c>
      <c r="AO6" s="6">
        <v>120837.72</v>
      </c>
      <c r="AP6" s="6">
        <v>1050737.96</v>
      </c>
      <c r="AQ6" s="6">
        <v>1068917.5899999999</v>
      </c>
      <c r="AR6" s="6">
        <v>-23.76709911513063</v>
      </c>
      <c r="AS6" s="6">
        <v>-24.58978868518869</v>
      </c>
      <c r="AT6" s="6">
        <v>9.4173841401903786</v>
      </c>
      <c r="AU6" s="6">
        <v>8.7599961751962372</v>
      </c>
      <c r="AV6" s="6">
        <v>-24398.850000000006</v>
      </c>
      <c r="AW6" s="6">
        <v>-29713.739999999991</v>
      </c>
      <c r="AX6" s="6">
        <v>98952.029999999912</v>
      </c>
      <c r="AY6" s="6">
        <v>93637.139999999781</v>
      </c>
      <c r="AZ6" s="6">
        <v>0</v>
      </c>
      <c r="BA6" s="6">
        <v>0</v>
      </c>
      <c r="BB6" s="6">
        <v>0</v>
      </c>
      <c r="BC6" s="6">
        <v>0</v>
      </c>
      <c r="BD6" s="4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</row>
    <row r="7" spans="1:61" x14ac:dyDescent="0.3">
      <c r="A7" s="4">
        <v>3</v>
      </c>
      <c r="B7" s="5" t="s">
        <v>59</v>
      </c>
      <c r="C7" s="5" t="s">
        <v>240</v>
      </c>
      <c r="D7" s="5" t="s">
        <v>237</v>
      </c>
      <c r="E7" s="10" t="str">
        <f t="shared" si="0"/>
        <v>375-00102</v>
      </c>
      <c r="F7" s="5" t="s">
        <v>65</v>
      </c>
      <c r="G7" s="5" t="s">
        <v>66</v>
      </c>
      <c r="H7" s="5" t="s">
        <v>62</v>
      </c>
      <c r="I7" s="6">
        <v>20626.54</v>
      </c>
      <c r="J7" s="6">
        <v>20626.560000000001</v>
      </c>
      <c r="K7" s="4" t="b">
        <v>1</v>
      </c>
      <c r="L7" s="4" t="b">
        <v>1</v>
      </c>
      <c r="M7" s="6">
        <v>0.02</v>
      </c>
      <c r="N7" s="6">
        <v>26612.34</v>
      </c>
      <c r="O7" s="4">
        <v>0</v>
      </c>
      <c r="P7" s="6">
        <v>23462.66</v>
      </c>
      <c r="Q7" s="6">
        <v>3149.68</v>
      </c>
      <c r="R7" s="6">
        <v>-5985.7799999999988</v>
      </c>
      <c r="S7" s="6">
        <v>-29.019768686586605</v>
      </c>
      <c r="T7" s="6">
        <v>20626.54</v>
      </c>
      <c r="U7" s="6">
        <v>26612.32</v>
      </c>
      <c r="V7" s="6">
        <v>0</v>
      </c>
      <c r="W7" s="6">
        <v>14</v>
      </c>
      <c r="X7" s="6">
        <v>185910.3</v>
      </c>
      <c r="Y7" s="6">
        <v>212522.63999999998</v>
      </c>
      <c r="Z7" s="6">
        <v>1015482.76</v>
      </c>
      <c r="AA7" s="6">
        <v>1042095.1</v>
      </c>
      <c r="AB7" s="6">
        <v>165561.94</v>
      </c>
      <c r="AC7" s="6">
        <v>189024.6</v>
      </c>
      <c r="AD7" s="6">
        <v>896256.15</v>
      </c>
      <c r="AE7" s="6">
        <v>919718.81</v>
      </c>
      <c r="AF7" s="6">
        <v>20348.36</v>
      </c>
      <c r="AG7" s="6">
        <v>23498.04</v>
      </c>
      <c r="AH7" s="6">
        <v>119226.61</v>
      </c>
      <c r="AI7" s="6">
        <v>122376.29</v>
      </c>
      <c r="AJ7" s="6">
        <v>133257.12</v>
      </c>
      <c r="AK7" s="6">
        <v>153883.68</v>
      </c>
      <c r="AL7" s="6">
        <v>866409.95</v>
      </c>
      <c r="AM7" s="6">
        <v>887036.51</v>
      </c>
      <c r="AN7" s="6">
        <v>133257.12</v>
      </c>
      <c r="AO7" s="6">
        <v>153883.66</v>
      </c>
      <c r="AP7" s="6">
        <v>866409.95</v>
      </c>
      <c r="AQ7" s="6">
        <v>887036.49</v>
      </c>
      <c r="AR7" s="6">
        <v>-39.512470328039505</v>
      </c>
      <c r="AS7" s="6">
        <v>-38.106029177363055</v>
      </c>
      <c r="AT7" s="6">
        <v>-17.205805404243112</v>
      </c>
      <c r="AU7" s="6">
        <v>-17.480519488425564</v>
      </c>
      <c r="AV7" s="6">
        <v>-52653.179999999993</v>
      </c>
      <c r="AW7" s="6">
        <v>-58638.959999999992</v>
      </c>
      <c r="AX7" s="6">
        <v>-149072.81000000006</v>
      </c>
      <c r="AY7" s="6">
        <v>-155058.58999999997</v>
      </c>
      <c r="AZ7" s="6">
        <v>0.02</v>
      </c>
      <c r="BA7" s="6">
        <v>0</v>
      </c>
      <c r="BB7" s="6">
        <v>0.02</v>
      </c>
      <c r="BC7" s="6">
        <v>0</v>
      </c>
      <c r="BD7" s="4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</row>
    <row r="8" spans="1:61" x14ac:dyDescent="0.3">
      <c r="A8" s="4">
        <v>4</v>
      </c>
      <c r="B8" s="5" t="s">
        <v>59</v>
      </c>
      <c r="C8" s="5" t="s">
        <v>240</v>
      </c>
      <c r="D8" s="5" t="s">
        <v>239</v>
      </c>
      <c r="E8" s="10" t="str">
        <f t="shared" si="0"/>
        <v>375-00103</v>
      </c>
      <c r="F8" s="5" t="s">
        <v>67</v>
      </c>
      <c r="G8" s="5" t="s">
        <v>68</v>
      </c>
      <c r="H8" s="5" t="s">
        <v>62</v>
      </c>
      <c r="I8" s="6">
        <v>9950</v>
      </c>
      <c r="J8" s="6">
        <v>20000</v>
      </c>
      <c r="K8" s="4" t="b">
        <v>1</v>
      </c>
      <c r="L8" s="4" t="b">
        <v>1</v>
      </c>
      <c r="M8" s="6">
        <v>12008.68</v>
      </c>
      <c r="N8" s="6">
        <v>22041.83</v>
      </c>
      <c r="O8" s="4">
        <v>0</v>
      </c>
      <c r="P8" s="6">
        <v>18987.830000000002</v>
      </c>
      <c r="Q8" s="6">
        <v>3054</v>
      </c>
      <c r="R8" s="6">
        <v>-2041.8300000000017</v>
      </c>
      <c r="S8" s="6">
        <v>-10.209150000000008</v>
      </c>
      <c r="T8" s="6">
        <v>9950</v>
      </c>
      <c r="U8" s="6">
        <v>11776.5</v>
      </c>
      <c r="V8" s="6">
        <v>-18987.830000000002</v>
      </c>
      <c r="W8" s="6">
        <v>14</v>
      </c>
      <c r="X8" s="6">
        <v>27773.87</v>
      </c>
      <c r="Y8" s="6">
        <v>49815.7</v>
      </c>
      <c r="Z8" s="6">
        <v>239791.53</v>
      </c>
      <c r="AA8" s="6">
        <v>261833.36</v>
      </c>
      <c r="AB8" s="6">
        <v>18703.490000000002</v>
      </c>
      <c r="AC8" s="6">
        <v>37691.320000000007</v>
      </c>
      <c r="AD8" s="6">
        <v>206697.5</v>
      </c>
      <c r="AE8" s="6">
        <v>225685.33000000002</v>
      </c>
      <c r="AF8" s="6">
        <v>9070.3799999999992</v>
      </c>
      <c r="AG8" s="6">
        <v>12124.38</v>
      </c>
      <c r="AH8" s="6">
        <v>33094.03</v>
      </c>
      <c r="AI8" s="6">
        <v>36148.03</v>
      </c>
      <c r="AJ8" s="6">
        <v>59400</v>
      </c>
      <c r="AK8" s="6">
        <v>79400</v>
      </c>
      <c r="AL8" s="6">
        <v>236680.62</v>
      </c>
      <c r="AM8" s="6">
        <v>256680.62</v>
      </c>
      <c r="AN8" s="6">
        <v>57819.51</v>
      </c>
      <c r="AO8" s="6">
        <v>67769.510000000009</v>
      </c>
      <c r="AP8" s="6">
        <v>234721.94</v>
      </c>
      <c r="AQ8" s="6">
        <v>244671.94</v>
      </c>
      <c r="AR8" s="6">
        <v>53.242643097643096</v>
      </c>
      <c r="AS8" s="6">
        <v>37.259823677581863</v>
      </c>
      <c r="AT8" s="6">
        <v>-1.3143915205224677</v>
      </c>
      <c r="AU8" s="6">
        <v>-2.0074519065755689</v>
      </c>
      <c r="AV8" s="6">
        <v>31626.13</v>
      </c>
      <c r="AW8" s="6">
        <v>29584.300000000003</v>
      </c>
      <c r="AX8" s="6">
        <v>-3110.9100000000035</v>
      </c>
      <c r="AY8" s="6">
        <v>-5152.7399999999907</v>
      </c>
      <c r="AZ8" s="6">
        <v>10050</v>
      </c>
      <c r="BA8" s="6">
        <v>1580.49</v>
      </c>
      <c r="BB8" s="6">
        <v>11630.49</v>
      </c>
      <c r="BC8" s="6">
        <v>1958.68</v>
      </c>
      <c r="BD8" s="4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</row>
    <row r="9" spans="1:61" x14ac:dyDescent="0.3">
      <c r="A9" s="4">
        <v>5</v>
      </c>
      <c r="B9" s="5" t="s">
        <v>59</v>
      </c>
      <c r="C9" s="5" t="s">
        <v>240</v>
      </c>
      <c r="D9" s="5" t="s">
        <v>237</v>
      </c>
      <c r="E9" s="10" t="str">
        <f t="shared" si="0"/>
        <v>375-00104</v>
      </c>
      <c r="F9" s="5" t="s">
        <v>69</v>
      </c>
      <c r="G9" s="5" t="s">
        <v>70</v>
      </c>
      <c r="H9" s="5" t="s">
        <v>62</v>
      </c>
      <c r="I9" s="6">
        <v>0</v>
      </c>
      <c r="J9" s="6">
        <v>0</v>
      </c>
      <c r="K9" s="4" t="b">
        <v>0</v>
      </c>
      <c r="L9" s="4" t="b">
        <v>0</v>
      </c>
      <c r="M9" s="6">
        <v>0</v>
      </c>
      <c r="N9" s="6">
        <v>0</v>
      </c>
      <c r="O9" s="4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14</v>
      </c>
      <c r="X9" s="6">
        <v>255.59</v>
      </c>
      <c r="Y9" s="6">
        <v>255.59</v>
      </c>
      <c r="Z9" s="6">
        <v>37242.99</v>
      </c>
      <c r="AA9" s="6">
        <v>37242.99</v>
      </c>
      <c r="AB9" s="6">
        <v>0</v>
      </c>
      <c r="AC9" s="6">
        <v>0</v>
      </c>
      <c r="AD9" s="6">
        <v>0</v>
      </c>
      <c r="AE9" s="6">
        <v>0</v>
      </c>
      <c r="AF9" s="6">
        <v>255.59</v>
      </c>
      <c r="AG9" s="6">
        <v>255.59</v>
      </c>
      <c r="AH9" s="6">
        <v>37242.99</v>
      </c>
      <c r="AI9" s="6">
        <v>37242.99</v>
      </c>
      <c r="AJ9" s="6">
        <v>1673.8</v>
      </c>
      <c r="AK9" s="6">
        <v>1673.8</v>
      </c>
      <c r="AL9" s="6">
        <v>263673.8</v>
      </c>
      <c r="AM9" s="6">
        <v>263673.8</v>
      </c>
      <c r="AN9" s="6">
        <v>0</v>
      </c>
      <c r="AO9" s="6">
        <v>0</v>
      </c>
      <c r="AP9" s="6">
        <v>263673.8</v>
      </c>
      <c r="AQ9" s="6">
        <v>263673.8</v>
      </c>
      <c r="AR9" s="6">
        <v>84.729955789222132</v>
      </c>
      <c r="AS9" s="6">
        <v>84.729955789222132</v>
      </c>
      <c r="AT9" s="6">
        <v>85.875354320376161</v>
      </c>
      <c r="AU9" s="6">
        <v>85.875354320376161</v>
      </c>
      <c r="AV9" s="6">
        <v>1418.21</v>
      </c>
      <c r="AW9" s="6">
        <v>1418.21</v>
      </c>
      <c r="AX9" s="6">
        <v>226430.81</v>
      </c>
      <c r="AY9" s="6">
        <v>226430.81</v>
      </c>
      <c r="AZ9" s="6">
        <v>0</v>
      </c>
      <c r="BA9" s="6">
        <v>1673.8</v>
      </c>
      <c r="BB9" s="6">
        <v>1673.8</v>
      </c>
      <c r="BC9" s="6">
        <v>0</v>
      </c>
      <c r="BD9" s="4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</row>
    <row r="10" spans="1:61" x14ac:dyDescent="0.3">
      <c r="A10" s="4">
        <v>6</v>
      </c>
      <c r="B10" s="5" t="s">
        <v>59</v>
      </c>
      <c r="C10" s="5" t="s">
        <v>240</v>
      </c>
      <c r="D10" s="5" t="s">
        <v>237</v>
      </c>
      <c r="E10" s="10" t="str">
        <f t="shared" si="0"/>
        <v>375-00105</v>
      </c>
      <c r="F10" s="5" t="s">
        <v>71</v>
      </c>
      <c r="G10" s="5" t="s">
        <v>72</v>
      </c>
      <c r="H10" s="5" t="s">
        <v>73</v>
      </c>
      <c r="I10" s="6">
        <v>17776.21</v>
      </c>
      <c r="J10" s="6">
        <v>17500</v>
      </c>
      <c r="K10" s="4" t="b">
        <v>1</v>
      </c>
      <c r="L10" s="4" t="b">
        <v>1</v>
      </c>
      <c r="M10" s="6">
        <v>0</v>
      </c>
      <c r="N10" s="6">
        <v>11877.21</v>
      </c>
      <c r="O10" s="4">
        <v>0</v>
      </c>
      <c r="P10" s="6">
        <v>9204.9599999999991</v>
      </c>
      <c r="Q10" s="6">
        <v>2672.25</v>
      </c>
      <c r="R10" s="6">
        <v>5622.7900000000009</v>
      </c>
      <c r="S10" s="6">
        <v>32.130228571428574</v>
      </c>
      <c r="T10" s="6">
        <v>17500</v>
      </c>
      <c r="U10" s="6">
        <v>11877.21</v>
      </c>
      <c r="V10" s="6">
        <v>0</v>
      </c>
      <c r="W10" s="6">
        <v>14</v>
      </c>
      <c r="X10" s="6">
        <v>47830.58</v>
      </c>
      <c r="Y10" s="6">
        <v>59707.79</v>
      </c>
      <c r="Z10" s="6">
        <v>279072.62</v>
      </c>
      <c r="AA10" s="6">
        <v>290949.83</v>
      </c>
      <c r="AB10" s="6">
        <v>40121.86</v>
      </c>
      <c r="AC10" s="6">
        <v>49326.82</v>
      </c>
      <c r="AD10" s="6">
        <v>241454.31</v>
      </c>
      <c r="AE10" s="6">
        <v>250659.27</v>
      </c>
      <c r="AF10" s="6">
        <v>7708.72</v>
      </c>
      <c r="AG10" s="6">
        <v>10380.970000000001</v>
      </c>
      <c r="AH10" s="6">
        <v>37618.31</v>
      </c>
      <c r="AI10" s="6">
        <v>40290.559999999998</v>
      </c>
      <c r="AJ10" s="6">
        <v>50482.77</v>
      </c>
      <c r="AK10" s="6">
        <v>67982.76999999999</v>
      </c>
      <c r="AL10" s="6">
        <v>277162.12</v>
      </c>
      <c r="AM10" s="6">
        <v>294662.12</v>
      </c>
      <c r="AN10" s="6">
        <v>54522.47</v>
      </c>
      <c r="AO10" s="6">
        <v>72298.679999999993</v>
      </c>
      <c r="AP10" s="6">
        <v>281201.82</v>
      </c>
      <c r="AQ10" s="6">
        <v>298978.03000000003</v>
      </c>
      <c r="AR10" s="6">
        <v>5.2536538704195417</v>
      </c>
      <c r="AS10" s="6">
        <v>12.172172448989633</v>
      </c>
      <c r="AT10" s="6">
        <v>-0.6893077596606636</v>
      </c>
      <c r="AU10" s="6">
        <v>1.2598463623352669</v>
      </c>
      <c r="AV10" s="6">
        <v>2652.1899999999951</v>
      </c>
      <c r="AW10" s="6">
        <v>8274.9799999999886</v>
      </c>
      <c r="AX10" s="6">
        <v>-1910.5</v>
      </c>
      <c r="AY10" s="6">
        <v>3712.289999999979</v>
      </c>
      <c r="AZ10" s="6">
        <v>0</v>
      </c>
      <c r="BA10" s="6">
        <v>0</v>
      </c>
      <c r="BB10" s="6">
        <v>0</v>
      </c>
      <c r="BC10" s="6">
        <v>0</v>
      </c>
      <c r="BD10" s="4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</row>
    <row r="11" spans="1:61" x14ac:dyDescent="0.3">
      <c r="A11" s="4">
        <v>7</v>
      </c>
      <c r="B11" s="5" t="s">
        <v>59</v>
      </c>
      <c r="C11" s="5" t="s">
        <v>240</v>
      </c>
      <c r="D11" s="5" t="s">
        <v>237</v>
      </c>
      <c r="E11" s="10" t="str">
        <f t="shared" si="0"/>
        <v>375-00200</v>
      </c>
      <c r="F11" s="5" t="s">
        <v>74</v>
      </c>
      <c r="G11" s="5" t="s">
        <v>75</v>
      </c>
      <c r="H11" s="5" t="s">
        <v>62</v>
      </c>
      <c r="I11" s="6">
        <v>0</v>
      </c>
      <c r="J11" s="6">
        <v>0</v>
      </c>
      <c r="K11" s="4" t="b">
        <v>0</v>
      </c>
      <c r="L11" s="4" t="b">
        <v>0</v>
      </c>
      <c r="M11" s="6">
        <v>0</v>
      </c>
      <c r="N11" s="6">
        <v>0</v>
      </c>
      <c r="O11" s="4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14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4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</row>
    <row r="12" spans="1:61" x14ac:dyDescent="0.3">
      <c r="A12" s="4">
        <v>8</v>
      </c>
      <c r="B12" s="5" t="s">
        <v>59</v>
      </c>
      <c r="C12" s="5" t="s">
        <v>240</v>
      </c>
      <c r="D12" s="5" t="s">
        <v>237</v>
      </c>
      <c r="E12" s="10" t="str">
        <f t="shared" si="0"/>
        <v>375-00201</v>
      </c>
      <c r="F12" s="5" t="s">
        <v>76</v>
      </c>
      <c r="G12" s="5" t="s">
        <v>77</v>
      </c>
      <c r="H12" s="5" t="s">
        <v>62</v>
      </c>
      <c r="I12" s="6">
        <v>0</v>
      </c>
      <c r="J12" s="6">
        <v>0</v>
      </c>
      <c r="K12" s="4" t="b">
        <v>0</v>
      </c>
      <c r="L12" s="4" t="b">
        <v>0</v>
      </c>
      <c r="M12" s="6">
        <v>0</v>
      </c>
      <c r="N12" s="6">
        <v>0</v>
      </c>
      <c r="O12" s="4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14</v>
      </c>
      <c r="X12" s="6">
        <v>0</v>
      </c>
      <c r="Y12" s="6">
        <v>0</v>
      </c>
      <c r="Z12" s="6">
        <v>25310.61</v>
      </c>
      <c r="AA12" s="6">
        <v>25310.61</v>
      </c>
      <c r="AB12" s="6">
        <v>0</v>
      </c>
      <c r="AC12" s="6">
        <v>0</v>
      </c>
      <c r="AD12" s="6">
        <v>21233.32</v>
      </c>
      <c r="AE12" s="6">
        <v>21233.32</v>
      </c>
      <c r="AF12" s="6">
        <v>0</v>
      </c>
      <c r="AG12" s="6">
        <v>0</v>
      </c>
      <c r="AH12" s="6">
        <v>4077.29</v>
      </c>
      <c r="AI12" s="6">
        <v>4077.29</v>
      </c>
      <c r="AJ12" s="6">
        <v>0</v>
      </c>
      <c r="AK12" s="6">
        <v>0</v>
      </c>
      <c r="AL12" s="6">
        <v>28601.919999999998</v>
      </c>
      <c r="AM12" s="6">
        <v>28601.919999999998</v>
      </c>
      <c r="AN12" s="6">
        <v>0</v>
      </c>
      <c r="AO12" s="6">
        <v>0</v>
      </c>
      <c r="AP12" s="6">
        <v>28601.919999999998</v>
      </c>
      <c r="AQ12" s="6">
        <v>28601.919999999998</v>
      </c>
      <c r="AR12" s="6">
        <v>0</v>
      </c>
      <c r="AS12" s="6">
        <v>0</v>
      </c>
      <c r="AT12" s="6">
        <v>11.507304404739255</v>
      </c>
      <c r="AU12" s="6">
        <v>11.507304404739255</v>
      </c>
      <c r="AV12" s="6">
        <v>0</v>
      </c>
      <c r="AW12" s="6">
        <v>0</v>
      </c>
      <c r="AX12" s="6">
        <v>3291.3099999999977</v>
      </c>
      <c r="AY12" s="6">
        <v>3291.3099999999977</v>
      </c>
      <c r="AZ12" s="6">
        <v>0</v>
      </c>
      <c r="BA12" s="6">
        <v>0</v>
      </c>
      <c r="BB12" s="6">
        <v>0</v>
      </c>
      <c r="BC12" s="6">
        <v>0</v>
      </c>
      <c r="BD12" s="4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</row>
    <row r="13" spans="1:61" x14ac:dyDescent="0.3">
      <c r="A13" s="4">
        <v>9</v>
      </c>
      <c r="B13" s="5" t="s">
        <v>59</v>
      </c>
      <c r="C13" s="5" t="s">
        <v>240</v>
      </c>
      <c r="D13" s="5" t="s">
        <v>237</v>
      </c>
      <c r="E13" s="10" t="str">
        <f t="shared" si="0"/>
        <v>375-00202</v>
      </c>
      <c r="F13" s="5" t="s">
        <v>78</v>
      </c>
      <c r="G13" s="5" t="s">
        <v>79</v>
      </c>
      <c r="H13" s="5" t="s">
        <v>62</v>
      </c>
      <c r="I13" s="6">
        <v>0</v>
      </c>
      <c r="J13" s="6">
        <v>0</v>
      </c>
      <c r="K13" s="4" t="b">
        <v>0</v>
      </c>
      <c r="L13" s="4" t="b">
        <v>0</v>
      </c>
      <c r="M13" s="6">
        <v>0</v>
      </c>
      <c r="N13" s="6">
        <v>0</v>
      </c>
      <c r="O13" s="4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14</v>
      </c>
      <c r="X13" s="6">
        <v>11068.22</v>
      </c>
      <c r="Y13" s="6">
        <v>11068.22</v>
      </c>
      <c r="Z13" s="6">
        <v>206351.99</v>
      </c>
      <c r="AA13" s="6">
        <v>206351.99</v>
      </c>
      <c r="AB13" s="6">
        <v>-610.52</v>
      </c>
      <c r="AC13" s="6">
        <v>-610.52</v>
      </c>
      <c r="AD13" s="6">
        <v>151866.09</v>
      </c>
      <c r="AE13" s="6">
        <v>151866.09</v>
      </c>
      <c r="AF13" s="6">
        <v>11678.74</v>
      </c>
      <c r="AG13" s="6">
        <v>11678.74</v>
      </c>
      <c r="AH13" s="6">
        <v>54485.9</v>
      </c>
      <c r="AI13" s="6">
        <v>54485.9</v>
      </c>
      <c r="AJ13" s="6">
        <v>76481.56</v>
      </c>
      <c r="AK13" s="6">
        <v>76481.56</v>
      </c>
      <c r="AL13" s="6">
        <v>390862.5</v>
      </c>
      <c r="AM13" s="6">
        <v>390862.5</v>
      </c>
      <c r="AN13" s="6">
        <v>76481.56</v>
      </c>
      <c r="AO13" s="6">
        <v>76481.56</v>
      </c>
      <c r="AP13" s="6">
        <v>390862.5</v>
      </c>
      <c r="AQ13" s="6">
        <v>390862.5</v>
      </c>
      <c r="AR13" s="6">
        <v>85.528250208285499</v>
      </c>
      <c r="AS13" s="6">
        <v>85.528250208285499</v>
      </c>
      <c r="AT13" s="6">
        <v>47.20598931849436</v>
      </c>
      <c r="AU13" s="6">
        <v>47.20598931849436</v>
      </c>
      <c r="AV13" s="6">
        <v>65413.34</v>
      </c>
      <c r="AW13" s="6">
        <v>65413.34</v>
      </c>
      <c r="AX13" s="6">
        <v>184510.51</v>
      </c>
      <c r="AY13" s="6">
        <v>184510.51</v>
      </c>
      <c r="AZ13" s="6">
        <v>0</v>
      </c>
      <c r="BA13" s="6">
        <v>0</v>
      </c>
      <c r="BB13" s="6">
        <v>0</v>
      </c>
      <c r="BC13" s="6">
        <v>0</v>
      </c>
      <c r="BD13" s="4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</row>
    <row r="14" spans="1:61" x14ac:dyDescent="0.3">
      <c r="A14" s="4">
        <v>10</v>
      </c>
      <c r="B14" s="5" t="s">
        <v>59</v>
      </c>
      <c r="C14" s="5" t="s">
        <v>243</v>
      </c>
      <c r="D14" s="5" t="s">
        <v>245</v>
      </c>
      <c r="E14" s="10" t="str">
        <f t="shared" si="0"/>
        <v>375-00900</v>
      </c>
      <c r="F14" s="5" t="s">
        <v>80</v>
      </c>
      <c r="G14" s="5" t="s">
        <v>81</v>
      </c>
      <c r="H14" s="5" t="s">
        <v>82</v>
      </c>
      <c r="I14" s="6">
        <v>0</v>
      </c>
      <c r="J14" s="6">
        <v>0</v>
      </c>
      <c r="K14" s="4" t="b">
        <v>0</v>
      </c>
      <c r="L14" s="4" t="b">
        <v>0</v>
      </c>
      <c r="M14" s="6">
        <v>0</v>
      </c>
      <c r="N14" s="6">
        <v>29.74</v>
      </c>
      <c r="O14" s="4">
        <v>0</v>
      </c>
      <c r="P14" s="6">
        <v>29.74</v>
      </c>
      <c r="Q14" s="6">
        <v>0</v>
      </c>
      <c r="R14" s="6">
        <v>-29.74</v>
      </c>
      <c r="S14" s="6">
        <v>0</v>
      </c>
      <c r="T14" s="6">
        <v>0</v>
      </c>
      <c r="U14" s="6">
        <v>29.74</v>
      </c>
      <c r="V14" s="6">
        <v>0</v>
      </c>
      <c r="W14" s="6">
        <v>14</v>
      </c>
      <c r="X14" s="6">
        <v>0</v>
      </c>
      <c r="Y14" s="6">
        <v>29.74</v>
      </c>
      <c r="Z14" s="6">
        <v>0</v>
      </c>
      <c r="AA14" s="6">
        <v>29.74</v>
      </c>
      <c r="AB14" s="6">
        <v>0</v>
      </c>
      <c r="AC14" s="6">
        <v>29.74</v>
      </c>
      <c r="AD14" s="6">
        <v>0</v>
      </c>
      <c r="AE14" s="6">
        <v>29.74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-29.74</v>
      </c>
      <c r="AX14" s="6">
        <v>0</v>
      </c>
      <c r="AY14" s="6">
        <v>-29.74</v>
      </c>
      <c r="AZ14" s="6">
        <v>0</v>
      </c>
      <c r="BA14" s="6">
        <v>0</v>
      </c>
      <c r="BB14" s="6">
        <v>0</v>
      </c>
      <c r="BC14" s="6">
        <v>0</v>
      </c>
      <c r="BD14" s="4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</row>
    <row r="15" spans="1:61" x14ac:dyDescent="0.3">
      <c r="A15" s="4">
        <v>11</v>
      </c>
      <c r="B15" s="5" t="s">
        <v>59</v>
      </c>
      <c r="C15" s="5" t="s">
        <v>243</v>
      </c>
      <c r="D15" s="5" t="s">
        <v>245</v>
      </c>
      <c r="E15" s="10" t="str">
        <f t="shared" si="0"/>
        <v>375-00901</v>
      </c>
      <c r="F15" s="5" t="s">
        <v>83</v>
      </c>
      <c r="G15" s="5" t="s">
        <v>84</v>
      </c>
      <c r="H15" s="5" t="s">
        <v>82</v>
      </c>
      <c r="I15" s="6">
        <v>16000</v>
      </c>
      <c r="J15" s="6">
        <v>16000</v>
      </c>
      <c r="K15" s="4" t="b">
        <v>1</v>
      </c>
      <c r="L15" s="4" t="b">
        <v>1</v>
      </c>
      <c r="M15" s="6">
        <v>16000</v>
      </c>
      <c r="N15" s="6">
        <v>16018</v>
      </c>
      <c r="O15" s="4">
        <v>0</v>
      </c>
      <c r="P15" s="6">
        <v>13574.8</v>
      </c>
      <c r="Q15" s="6">
        <v>2443.1999999999998</v>
      </c>
      <c r="R15" s="6">
        <v>-18</v>
      </c>
      <c r="S15" s="6">
        <v>-0.11249999999999999</v>
      </c>
      <c r="T15" s="6">
        <v>16000</v>
      </c>
      <c r="U15" s="6">
        <v>16055.09</v>
      </c>
      <c r="V15" s="6">
        <v>0</v>
      </c>
      <c r="W15" s="6">
        <v>14</v>
      </c>
      <c r="X15" s="6">
        <v>63714.79</v>
      </c>
      <c r="Y15" s="6">
        <v>79732.790000000008</v>
      </c>
      <c r="Z15" s="6">
        <v>157547.44</v>
      </c>
      <c r="AA15" s="6">
        <v>173565.44</v>
      </c>
      <c r="AB15" s="6">
        <v>53941.99</v>
      </c>
      <c r="AC15" s="6">
        <v>67516.789999999994</v>
      </c>
      <c r="AD15" s="6">
        <v>134988.72</v>
      </c>
      <c r="AE15" s="6">
        <v>148563.51999999999</v>
      </c>
      <c r="AF15" s="6">
        <v>9772.7999999999993</v>
      </c>
      <c r="AG15" s="6">
        <v>12216</v>
      </c>
      <c r="AH15" s="6">
        <v>22558.720000000001</v>
      </c>
      <c r="AI15" s="6">
        <v>25001.920000000002</v>
      </c>
      <c r="AJ15" s="6">
        <v>64000</v>
      </c>
      <c r="AK15" s="6">
        <v>80000</v>
      </c>
      <c r="AL15" s="6">
        <v>153600</v>
      </c>
      <c r="AM15" s="6">
        <v>169600</v>
      </c>
      <c r="AN15" s="6">
        <v>48000</v>
      </c>
      <c r="AO15" s="6">
        <v>64000</v>
      </c>
      <c r="AP15" s="6">
        <v>137600</v>
      </c>
      <c r="AQ15" s="6">
        <v>153600</v>
      </c>
      <c r="AR15" s="6">
        <v>0.44564062499999862</v>
      </c>
      <c r="AS15" s="6">
        <v>0.33401249999998983</v>
      </c>
      <c r="AT15" s="6">
        <v>-2.5699479166666683</v>
      </c>
      <c r="AU15" s="6">
        <v>-2.3381132075471713</v>
      </c>
      <c r="AV15" s="6">
        <v>285.20999999999913</v>
      </c>
      <c r="AW15" s="6">
        <v>267.20999999999185</v>
      </c>
      <c r="AX15" s="6">
        <v>-3947.4400000000023</v>
      </c>
      <c r="AY15" s="6">
        <v>-3965.4400000000023</v>
      </c>
      <c r="AZ15" s="6">
        <v>0</v>
      </c>
      <c r="BA15" s="6">
        <v>16000</v>
      </c>
      <c r="BB15" s="6">
        <v>16000</v>
      </c>
      <c r="BC15" s="6">
        <v>16000</v>
      </c>
      <c r="BD15" s="4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</row>
    <row r="16" spans="1:61" x14ac:dyDescent="0.3">
      <c r="A16" s="4">
        <v>12</v>
      </c>
      <c r="B16" s="5" t="s">
        <v>59</v>
      </c>
      <c r="C16" s="5" t="s">
        <v>246</v>
      </c>
      <c r="D16" s="5" t="s">
        <v>248</v>
      </c>
      <c r="E16" s="10" t="str">
        <f t="shared" si="0"/>
        <v>375-01100</v>
      </c>
      <c r="F16" s="5" t="s">
        <v>85</v>
      </c>
      <c r="G16" s="5" t="s">
        <v>86</v>
      </c>
      <c r="H16" s="5" t="s">
        <v>82</v>
      </c>
      <c r="I16" s="6">
        <v>0</v>
      </c>
      <c r="J16" s="6">
        <v>0</v>
      </c>
      <c r="K16" s="4" t="b">
        <v>0</v>
      </c>
      <c r="L16" s="4" t="b">
        <v>0</v>
      </c>
      <c r="M16" s="6">
        <v>0</v>
      </c>
      <c r="N16" s="6">
        <v>0</v>
      </c>
      <c r="O16" s="4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14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4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</row>
    <row r="17" spans="1:61" x14ac:dyDescent="0.3">
      <c r="A17" s="4">
        <v>13</v>
      </c>
      <c r="B17" s="5" t="s">
        <v>59</v>
      </c>
      <c r="C17" s="5" t="s">
        <v>246</v>
      </c>
      <c r="D17" s="5" t="s">
        <v>247</v>
      </c>
      <c r="E17" s="10" t="str">
        <f t="shared" si="0"/>
        <v>375-01101</v>
      </c>
      <c r="F17" s="5" t="s">
        <v>87</v>
      </c>
      <c r="G17" s="5" t="s">
        <v>88</v>
      </c>
      <c r="H17" s="5" t="s">
        <v>82</v>
      </c>
      <c r="I17" s="6">
        <v>2224.89</v>
      </c>
      <c r="J17" s="6">
        <v>10000</v>
      </c>
      <c r="K17" s="4" t="b">
        <v>1</v>
      </c>
      <c r="L17" s="4" t="b">
        <v>1</v>
      </c>
      <c r="M17" s="6">
        <v>15875.99</v>
      </c>
      <c r="N17" s="6">
        <v>2825.57</v>
      </c>
      <c r="O17" s="4">
        <v>0</v>
      </c>
      <c r="P17" s="6">
        <v>1298.57</v>
      </c>
      <c r="Q17" s="6">
        <v>1527</v>
      </c>
      <c r="R17" s="6">
        <v>7174.43</v>
      </c>
      <c r="S17" s="6">
        <v>71.74430000000001</v>
      </c>
      <c r="T17" s="6">
        <v>2224.89</v>
      </c>
      <c r="U17" s="6">
        <v>-3511.46</v>
      </c>
      <c r="V17" s="6">
        <v>0</v>
      </c>
      <c r="W17" s="6">
        <v>14</v>
      </c>
      <c r="X17" s="6">
        <v>14638.94</v>
      </c>
      <c r="Y17" s="6">
        <v>17464.510000000002</v>
      </c>
      <c r="Z17" s="6">
        <v>145171.85999999999</v>
      </c>
      <c r="AA17" s="6">
        <v>147997.43</v>
      </c>
      <c r="AB17" s="6">
        <v>11837.95</v>
      </c>
      <c r="AC17" s="6">
        <v>13136.52</v>
      </c>
      <c r="AD17" s="6">
        <v>123254.73</v>
      </c>
      <c r="AE17" s="6">
        <v>124553.3</v>
      </c>
      <c r="AF17" s="6">
        <v>2800.99</v>
      </c>
      <c r="AG17" s="6">
        <v>4327.99</v>
      </c>
      <c r="AH17" s="6">
        <v>21917.13</v>
      </c>
      <c r="AI17" s="6">
        <v>23444.13</v>
      </c>
      <c r="AJ17" s="6">
        <v>18343.12</v>
      </c>
      <c r="AK17" s="6">
        <v>28343.119999999999</v>
      </c>
      <c r="AL17" s="6">
        <v>163870.23000000001</v>
      </c>
      <c r="AM17" s="6">
        <v>173870.23</v>
      </c>
      <c r="AN17" s="6">
        <v>10242.24</v>
      </c>
      <c r="AO17" s="6">
        <v>12467.13</v>
      </c>
      <c r="AP17" s="6">
        <v>155769.35</v>
      </c>
      <c r="AQ17" s="6">
        <v>157994.24000000002</v>
      </c>
      <c r="AR17" s="6">
        <v>20.193838343749583</v>
      </c>
      <c r="AS17" s="6">
        <v>38.381836579741389</v>
      </c>
      <c r="AT17" s="6">
        <v>11.410474007389885</v>
      </c>
      <c r="AU17" s="6">
        <v>14.88052325001239</v>
      </c>
      <c r="AV17" s="6">
        <v>3704.1799999999985</v>
      </c>
      <c r="AW17" s="6">
        <v>10878.609999999997</v>
      </c>
      <c r="AX17" s="6">
        <v>18698.370000000024</v>
      </c>
      <c r="AY17" s="6">
        <v>25872.800000000017</v>
      </c>
      <c r="AZ17" s="6">
        <v>7775.11</v>
      </c>
      <c r="BA17" s="6">
        <v>8100.88</v>
      </c>
      <c r="BB17" s="6">
        <v>15875.99</v>
      </c>
      <c r="BC17" s="6">
        <v>8100.88</v>
      </c>
      <c r="BD17" s="4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</row>
    <row r="18" spans="1:61" x14ac:dyDescent="0.3">
      <c r="A18" s="4">
        <v>14</v>
      </c>
      <c r="B18" s="5" t="s">
        <v>59</v>
      </c>
      <c r="C18" s="5" t="s">
        <v>246</v>
      </c>
      <c r="D18" s="5" t="s">
        <v>248</v>
      </c>
      <c r="E18" s="10" t="str">
        <f t="shared" si="0"/>
        <v>375-01102</v>
      </c>
      <c r="F18" s="5" t="s">
        <v>89</v>
      </c>
      <c r="G18" s="5" t="s">
        <v>90</v>
      </c>
      <c r="H18" s="5" t="s">
        <v>82</v>
      </c>
      <c r="I18" s="6">
        <v>0</v>
      </c>
      <c r="J18" s="6">
        <v>0</v>
      </c>
      <c r="K18" s="4" t="b">
        <v>0</v>
      </c>
      <c r="L18" s="4" t="b">
        <v>0</v>
      </c>
      <c r="M18" s="6">
        <v>0</v>
      </c>
      <c r="N18" s="6">
        <v>40.72</v>
      </c>
      <c r="O18" s="4">
        <v>0</v>
      </c>
      <c r="P18" s="6">
        <v>40.72</v>
      </c>
      <c r="Q18" s="6">
        <v>0</v>
      </c>
      <c r="R18" s="6">
        <v>-40.72</v>
      </c>
      <c r="S18" s="6">
        <v>0</v>
      </c>
      <c r="T18" s="6">
        <v>0</v>
      </c>
      <c r="U18" s="6">
        <v>40.72</v>
      </c>
      <c r="V18" s="6">
        <v>0</v>
      </c>
      <c r="W18" s="6">
        <v>14</v>
      </c>
      <c r="X18" s="6">
        <v>3597.92</v>
      </c>
      <c r="Y18" s="6">
        <v>3638.64</v>
      </c>
      <c r="Z18" s="6">
        <v>392059.62</v>
      </c>
      <c r="AA18" s="6">
        <v>392100.33999999997</v>
      </c>
      <c r="AB18" s="6">
        <v>3553.06</v>
      </c>
      <c r="AC18" s="6">
        <v>3593.7799999999997</v>
      </c>
      <c r="AD18" s="6">
        <v>345306.53</v>
      </c>
      <c r="AE18" s="6">
        <v>345347.25</v>
      </c>
      <c r="AF18" s="6">
        <v>44.86</v>
      </c>
      <c r="AG18" s="6">
        <v>44.86</v>
      </c>
      <c r="AH18" s="6">
        <v>46753.09</v>
      </c>
      <c r="AI18" s="6">
        <v>46753.09</v>
      </c>
      <c r="AJ18" s="6">
        <v>293.76</v>
      </c>
      <c r="AK18" s="6">
        <v>293.76</v>
      </c>
      <c r="AL18" s="6">
        <v>369673.81</v>
      </c>
      <c r="AM18" s="6">
        <v>369673.81</v>
      </c>
      <c r="AN18" s="6">
        <v>293.76</v>
      </c>
      <c r="AO18" s="6">
        <v>293.76</v>
      </c>
      <c r="AP18" s="6">
        <v>369673.81</v>
      </c>
      <c r="AQ18" s="6">
        <v>369673.81</v>
      </c>
      <c r="AR18" s="6">
        <v>-1124.7821350762526</v>
      </c>
      <c r="AS18" s="6">
        <v>-1138.6437908496732</v>
      </c>
      <c r="AT18" s="6">
        <v>-6.0555574656478903</v>
      </c>
      <c r="AU18" s="6">
        <v>-6.0665725819202532</v>
      </c>
      <c r="AV18" s="6">
        <v>-3304.16</v>
      </c>
      <c r="AW18" s="6">
        <v>-3344.88</v>
      </c>
      <c r="AX18" s="6">
        <v>-22385.809999999998</v>
      </c>
      <c r="AY18" s="6">
        <v>-22426.52999999997</v>
      </c>
      <c r="AZ18" s="6">
        <v>0</v>
      </c>
      <c r="BA18" s="6">
        <v>0</v>
      </c>
      <c r="BB18" s="6">
        <v>0</v>
      </c>
      <c r="BC18" s="6">
        <v>0</v>
      </c>
      <c r="BD18" s="4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</row>
    <row r="19" spans="1:61" x14ac:dyDescent="0.3">
      <c r="A19" s="4">
        <v>15</v>
      </c>
      <c r="B19" s="5" t="s">
        <v>59</v>
      </c>
      <c r="C19" s="5" t="s">
        <v>246</v>
      </c>
      <c r="D19" s="5" t="s">
        <v>247</v>
      </c>
      <c r="E19" s="10" t="str">
        <f t="shared" si="0"/>
        <v>375-01103</v>
      </c>
      <c r="F19" s="5" t="s">
        <v>91</v>
      </c>
      <c r="G19" s="5" t="s">
        <v>92</v>
      </c>
      <c r="H19" s="5" t="s">
        <v>82</v>
      </c>
      <c r="I19" s="6">
        <v>1202</v>
      </c>
      <c r="J19" s="6">
        <v>2300</v>
      </c>
      <c r="K19" s="4" t="b">
        <v>1</v>
      </c>
      <c r="L19" s="4" t="b">
        <v>1</v>
      </c>
      <c r="M19" s="6">
        <v>2998</v>
      </c>
      <c r="N19" s="6">
        <v>351.21</v>
      </c>
      <c r="O19" s="4">
        <v>0</v>
      </c>
      <c r="P19" s="6">
        <v>0</v>
      </c>
      <c r="Q19" s="6">
        <v>351.21</v>
      </c>
      <c r="R19" s="6">
        <v>1948.79</v>
      </c>
      <c r="S19" s="6">
        <v>84.72999999999999</v>
      </c>
      <c r="T19" s="6">
        <v>1202</v>
      </c>
      <c r="U19" s="6">
        <v>-548.58000000000004</v>
      </c>
      <c r="V19" s="6">
        <v>0</v>
      </c>
      <c r="W19" s="6">
        <v>14</v>
      </c>
      <c r="X19" s="6">
        <v>9593.84</v>
      </c>
      <c r="Y19" s="6">
        <v>9945.0499999999993</v>
      </c>
      <c r="Z19" s="6">
        <v>89175.41</v>
      </c>
      <c r="AA19" s="6">
        <v>89526.62000000001</v>
      </c>
      <c r="AB19" s="6">
        <v>8341.89</v>
      </c>
      <c r="AC19" s="6">
        <v>8341.89</v>
      </c>
      <c r="AD19" s="6">
        <v>75255.56</v>
      </c>
      <c r="AE19" s="6">
        <v>75255.56</v>
      </c>
      <c r="AF19" s="6">
        <v>1251.95</v>
      </c>
      <c r="AG19" s="6">
        <v>1603.16</v>
      </c>
      <c r="AH19" s="6">
        <v>13919.85</v>
      </c>
      <c r="AI19" s="6">
        <v>14271.06</v>
      </c>
      <c r="AJ19" s="6">
        <v>8198.69</v>
      </c>
      <c r="AK19" s="6">
        <v>10498.69</v>
      </c>
      <c r="AL19" s="6">
        <v>103505.12</v>
      </c>
      <c r="AM19" s="6">
        <v>105805.12</v>
      </c>
      <c r="AN19" s="6">
        <v>6298.69</v>
      </c>
      <c r="AO19" s="6">
        <v>7500.69</v>
      </c>
      <c r="AP19" s="6">
        <v>101605.12</v>
      </c>
      <c r="AQ19" s="6">
        <v>102807.12</v>
      </c>
      <c r="AR19" s="6">
        <v>-17.016742918685786</v>
      </c>
      <c r="AS19" s="6">
        <v>5.2734198266641004</v>
      </c>
      <c r="AT19" s="6">
        <v>13.84444556945588</v>
      </c>
      <c r="AU19" s="6">
        <v>15.385361313327737</v>
      </c>
      <c r="AV19" s="6">
        <v>-1395.1499999999996</v>
      </c>
      <c r="AW19" s="6">
        <v>553.64000000000124</v>
      </c>
      <c r="AX19" s="6">
        <v>14329.709999999992</v>
      </c>
      <c r="AY19" s="6">
        <v>16278.499999999985</v>
      </c>
      <c r="AZ19" s="6">
        <v>1098</v>
      </c>
      <c r="BA19" s="6">
        <v>1900</v>
      </c>
      <c r="BB19" s="6">
        <v>2998</v>
      </c>
      <c r="BC19" s="6">
        <v>1900</v>
      </c>
      <c r="BD19" s="4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</row>
    <row r="20" spans="1:61" x14ac:dyDescent="0.3">
      <c r="A20" s="4">
        <v>16</v>
      </c>
      <c r="B20" s="5" t="s">
        <v>59</v>
      </c>
      <c r="C20" s="5" t="s">
        <v>246</v>
      </c>
      <c r="D20" s="5" t="s">
        <v>248</v>
      </c>
      <c r="E20" s="10" t="str">
        <f t="shared" si="0"/>
        <v>375-01104</v>
      </c>
      <c r="F20" s="5" t="s">
        <v>93</v>
      </c>
      <c r="G20" s="5" t="s">
        <v>94</v>
      </c>
      <c r="H20" s="5" t="s">
        <v>82</v>
      </c>
      <c r="I20" s="6">
        <v>0</v>
      </c>
      <c r="J20" s="6">
        <v>0</v>
      </c>
      <c r="K20" s="4" t="b">
        <v>0</v>
      </c>
      <c r="L20" s="4" t="b">
        <v>0</v>
      </c>
      <c r="M20" s="6">
        <v>0</v>
      </c>
      <c r="N20" s="6">
        <v>1274.57</v>
      </c>
      <c r="O20" s="4">
        <v>0</v>
      </c>
      <c r="P20" s="6">
        <v>1274.57</v>
      </c>
      <c r="Q20" s="6">
        <v>0</v>
      </c>
      <c r="R20" s="6">
        <v>-1274.57</v>
      </c>
      <c r="S20" s="6">
        <v>0</v>
      </c>
      <c r="T20" s="6">
        <v>0</v>
      </c>
      <c r="U20" s="6">
        <v>1274.57</v>
      </c>
      <c r="V20" s="6">
        <v>0</v>
      </c>
      <c r="W20" s="6">
        <v>14</v>
      </c>
      <c r="X20" s="6">
        <v>3530.18</v>
      </c>
      <c r="Y20" s="6">
        <v>4804.75</v>
      </c>
      <c r="Z20" s="6">
        <v>91088.51</v>
      </c>
      <c r="AA20" s="6">
        <v>92363.08</v>
      </c>
      <c r="AB20" s="6">
        <v>3377.26</v>
      </c>
      <c r="AC20" s="6">
        <v>4651.83</v>
      </c>
      <c r="AD20" s="6">
        <v>75677.16</v>
      </c>
      <c r="AE20" s="6">
        <v>76951.73000000001</v>
      </c>
      <c r="AF20" s="6">
        <v>152.91999999999999</v>
      </c>
      <c r="AG20" s="6">
        <v>152.91999999999999</v>
      </c>
      <c r="AH20" s="6">
        <v>15411.35</v>
      </c>
      <c r="AI20" s="6">
        <v>15411.35</v>
      </c>
      <c r="AJ20" s="6">
        <v>1001.44</v>
      </c>
      <c r="AK20" s="6">
        <v>1001.44</v>
      </c>
      <c r="AL20" s="6">
        <v>119351.39</v>
      </c>
      <c r="AM20" s="6">
        <v>119351.39</v>
      </c>
      <c r="AN20" s="6">
        <v>1001.44</v>
      </c>
      <c r="AO20" s="6">
        <v>1001.44</v>
      </c>
      <c r="AP20" s="6">
        <v>119351.39</v>
      </c>
      <c r="AQ20" s="6">
        <v>119351.39</v>
      </c>
      <c r="AR20" s="6">
        <v>-252.51038504553441</v>
      </c>
      <c r="AS20" s="6">
        <v>-379.78411088033226</v>
      </c>
      <c r="AT20" s="6">
        <v>23.680394505669355</v>
      </c>
      <c r="AU20" s="6">
        <v>22.612480675759201</v>
      </c>
      <c r="AV20" s="6">
        <v>-2528.7399999999998</v>
      </c>
      <c r="AW20" s="6">
        <v>-3803.31</v>
      </c>
      <c r="AX20" s="6">
        <v>28262.880000000005</v>
      </c>
      <c r="AY20" s="6">
        <v>26988.309999999998</v>
      </c>
      <c r="AZ20" s="6">
        <v>0</v>
      </c>
      <c r="BA20" s="6">
        <v>0</v>
      </c>
      <c r="BB20" s="6">
        <v>0</v>
      </c>
      <c r="BC20" s="6">
        <v>0</v>
      </c>
      <c r="BD20" s="4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</row>
    <row r="21" spans="1:61" x14ac:dyDescent="0.3">
      <c r="A21" s="4">
        <v>17</v>
      </c>
      <c r="B21" s="5" t="s">
        <v>59</v>
      </c>
      <c r="C21" s="5" t="s">
        <v>246</v>
      </c>
      <c r="D21" s="5" t="s">
        <v>248</v>
      </c>
      <c r="E21" s="10" t="str">
        <f t="shared" si="0"/>
        <v>375-01105</v>
      </c>
      <c r="F21" s="5" t="s">
        <v>95</v>
      </c>
      <c r="G21" s="5" t="s">
        <v>96</v>
      </c>
      <c r="H21" s="5" t="s">
        <v>82</v>
      </c>
      <c r="I21" s="6">
        <v>0</v>
      </c>
      <c r="J21" s="6">
        <v>0</v>
      </c>
      <c r="K21" s="4" t="b">
        <v>0</v>
      </c>
      <c r="L21" s="4" t="b">
        <v>0</v>
      </c>
      <c r="M21" s="6">
        <v>0</v>
      </c>
      <c r="N21" s="6">
        <v>0</v>
      </c>
      <c r="O21" s="4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14</v>
      </c>
      <c r="X21" s="6">
        <v>191.71</v>
      </c>
      <c r="Y21" s="6">
        <v>191.71</v>
      </c>
      <c r="Z21" s="6">
        <v>72691.02</v>
      </c>
      <c r="AA21" s="6">
        <v>72691.02</v>
      </c>
      <c r="AB21" s="6">
        <v>191.71</v>
      </c>
      <c r="AC21" s="6">
        <v>191.71</v>
      </c>
      <c r="AD21" s="6">
        <v>63950.45</v>
      </c>
      <c r="AE21" s="6">
        <v>63950.45</v>
      </c>
      <c r="AF21" s="6">
        <v>0</v>
      </c>
      <c r="AG21" s="6">
        <v>0</v>
      </c>
      <c r="AH21" s="6">
        <v>8740.57</v>
      </c>
      <c r="AI21" s="6">
        <v>8740.57</v>
      </c>
      <c r="AJ21" s="6">
        <v>0</v>
      </c>
      <c r="AK21" s="6">
        <v>0</v>
      </c>
      <c r="AL21" s="6">
        <v>69866.570000000007</v>
      </c>
      <c r="AM21" s="6">
        <v>69866.570000000007</v>
      </c>
      <c r="AN21" s="6">
        <v>0</v>
      </c>
      <c r="AO21" s="6">
        <v>0</v>
      </c>
      <c r="AP21" s="6">
        <v>69866.570000000007</v>
      </c>
      <c r="AQ21" s="6">
        <v>69866.570000000007</v>
      </c>
      <c r="AR21" s="6">
        <v>0</v>
      </c>
      <c r="AS21" s="6">
        <v>0</v>
      </c>
      <c r="AT21" s="6">
        <v>-4.0426344101334823</v>
      </c>
      <c r="AU21" s="6">
        <v>-4.0426344101334823</v>
      </c>
      <c r="AV21" s="6">
        <v>-191.71</v>
      </c>
      <c r="AW21" s="6">
        <v>-191.71</v>
      </c>
      <c r="AX21" s="6">
        <v>-2824.4499999999971</v>
      </c>
      <c r="AY21" s="6">
        <v>-2824.4499999999971</v>
      </c>
      <c r="AZ21" s="6">
        <v>0</v>
      </c>
      <c r="BA21" s="6">
        <v>0</v>
      </c>
      <c r="BB21" s="6">
        <v>0</v>
      </c>
      <c r="BC21" s="6">
        <v>0</v>
      </c>
      <c r="BD21" s="4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</row>
    <row r="22" spans="1:61" x14ac:dyDescent="0.3">
      <c r="A22" s="4">
        <v>18</v>
      </c>
      <c r="B22" s="5" t="s">
        <v>59</v>
      </c>
      <c r="C22" s="5" t="s">
        <v>246</v>
      </c>
      <c r="D22" s="5" t="s">
        <v>249</v>
      </c>
      <c r="E22" s="10" t="str">
        <f t="shared" si="0"/>
        <v>375-01106</v>
      </c>
      <c r="F22" s="5" t="s">
        <v>97</v>
      </c>
      <c r="G22" s="5" t="s">
        <v>98</v>
      </c>
      <c r="H22" s="5" t="s">
        <v>82</v>
      </c>
      <c r="I22" s="6">
        <v>67850</v>
      </c>
      <c r="J22" s="6">
        <v>71000</v>
      </c>
      <c r="K22" s="4" t="b">
        <v>1</v>
      </c>
      <c r="L22" s="4" t="b">
        <v>1</v>
      </c>
      <c r="M22" s="6">
        <v>94024.97</v>
      </c>
      <c r="N22" s="6">
        <v>85851.33</v>
      </c>
      <c r="O22" s="4">
        <v>0</v>
      </c>
      <c r="P22" s="6">
        <v>75009.63</v>
      </c>
      <c r="Q22" s="6">
        <v>10841.7</v>
      </c>
      <c r="R22" s="6">
        <v>-14851.330000000002</v>
      </c>
      <c r="S22" s="6">
        <v>-20.917366197183103</v>
      </c>
      <c r="T22" s="6">
        <v>67850</v>
      </c>
      <c r="U22" s="6">
        <v>81917.11</v>
      </c>
      <c r="V22" s="6">
        <v>0</v>
      </c>
      <c r="W22" s="6">
        <v>14</v>
      </c>
      <c r="X22" s="6">
        <v>321107.12</v>
      </c>
      <c r="Y22" s="6">
        <v>406958.45</v>
      </c>
      <c r="Z22" s="6">
        <v>1703655.64</v>
      </c>
      <c r="AA22" s="6">
        <v>1789506.97</v>
      </c>
      <c r="AB22" s="6">
        <v>280030.82</v>
      </c>
      <c r="AC22" s="6">
        <v>355040.45</v>
      </c>
      <c r="AD22" s="6">
        <v>1466712.58</v>
      </c>
      <c r="AE22" s="6">
        <v>1541722.21</v>
      </c>
      <c r="AF22" s="6">
        <v>41076.300000000003</v>
      </c>
      <c r="AG22" s="6">
        <v>51918</v>
      </c>
      <c r="AH22" s="6">
        <v>236943.06</v>
      </c>
      <c r="AI22" s="6">
        <v>247784.76</v>
      </c>
      <c r="AJ22" s="6">
        <v>269000</v>
      </c>
      <c r="AK22" s="6">
        <v>340000</v>
      </c>
      <c r="AL22" s="6">
        <v>1727236.48</v>
      </c>
      <c r="AM22" s="6">
        <v>1798236.48</v>
      </c>
      <c r="AN22" s="6">
        <v>178125.03</v>
      </c>
      <c r="AO22" s="6">
        <v>245975.03</v>
      </c>
      <c r="AP22" s="6">
        <v>1636361.51</v>
      </c>
      <c r="AQ22" s="6">
        <v>1704211.51</v>
      </c>
      <c r="AR22" s="6">
        <v>-19.37067657992565</v>
      </c>
      <c r="AS22" s="6">
        <v>-19.693661764705887</v>
      </c>
      <c r="AT22" s="6">
        <v>1.3652351761352379</v>
      </c>
      <c r="AU22" s="6">
        <v>0.48544838774486493</v>
      </c>
      <c r="AV22" s="6">
        <v>-52107.119999999995</v>
      </c>
      <c r="AW22" s="6">
        <v>-66958.450000000012</v>
      </c>
      <c r="AX22" s="6">
        <v>23580.840000000084</v>
      </c>
      <c r="AY22" s="6">
        <v>8729.5100000000093</v>
      </c>
      <c r="AZ22" s="6">
        <v>3150</v>
      </c>
      <c r="BA22" s="6">
        <v>90874.97</v>
      </c>
      <c r="BB22" s="6">
        <v>94024.97</v>
      </c>
      <c r="BC22" s="6">
        <v>90874.97</v>
      </c>
      <c r="BD22" s="4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</row>
    <row r="23" spans="1:61" x14ac:dyDescent="0.3">
      <c r="A23" s="4">
        <v>19</v>
      </c>
      <c r="B23" s="5" t="s">
        <v>59</v>
      </c>
      <c r="C23" s="5" t="s">
        <v>246</v>
      </c>
      <c r="D23" s="5" t="s">
        <v>248</v>
      </c>
      <c r="E23" s="10" t="str">
        <f t="shared" si="0"/>
        <v>375-01107</v>
      </c>
      <c r="F23" s="5" t="s">
        <v>99</v>
      </c>
      <c r="G23" s="5" t="s">
        <v>100</v>
      </c>
      <c r="H23" s="5" t="s">
        <v>82</v>
      </c>
      <c r="I23" s="6">
        <v>0</v>
      </c>
      <c r="J23" s="6">
        <v>0</v>
      </c>
      <c r="K23" s="4" t="b">
        <v>0</v>
      </c>
      <c r="L23" s="4" t="b">
        <v>0</v>
      </c>
      <c r="M23" s="6">
        <v>0</v>
      </c>
      <c r="N23" s="6">
        <v>0</v>
      </c>
      <c r="O23" s="4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14</v>
      </c>
      <c r="X23" s="6">
        <v>0</v>
      </c>
      <c r="Y23" s="6">
        <v>0</v>
      </c>
      <c r="Z23" s="6">
        <v>47664.45</v>
      </c>
      <c r="AA23" s="6">
        <v>47664.45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47664.45</v>
      </c>
      <c r="AI23" s="6">
        <v>47664.45</v>
      </c>
      <c r="AJ23" s="6">
        <v>0</v>
      </c>
      <c r="AK23" s="6">
        <v>0</v>
      </c>
      <c r="AL23" s="6">
        <v>363417.32</v>
      </c>
      <c r="AM23" s="6">
        <v>363417.32</v>
      </c>
      <c r="AN23" s="6">
        <v>0</v>
      </c>
      <c r="AO23" s="6">
        <v>0</v>
      </c>
      <c r="AP23" s="6">
        <v>363417.32</v>
      </c>
      <c r="AQ23" s="6">
        <v>363417.32</v>
      </c>
      <c r="AR23" s="6">
        <v>0</v>
      </c>
      <c r="AS23" s="6">
        <v>0</v>
      </c>
      <c r="AT23" s="6">
        <v>86.884375791445493</v>
      </c>
      <c r="AU23" s="6">
        <v>86.884375791445493</v>
      </c>
      <c r="AV23" s="6">
        <v>0</v>
      </c>
      <c r="AW23" s="6">
        <v>0</v>
      </c>
      <c r="AX23" s="6">
        <v>315752.87</v>
      </c>
      <c r="AY23" s="6">
        <v>315752.87</v>
      </c>
      <c r="AZ23" s="6">
        <v>0</v>
      </c>
      <c r="BA23" s="6">
        <v>0</v>
      </c>
      <c r="BB23" s="6">
        <v>0</v>
      </c>
      <c r="BC23" s="6">
        <v>0</v>
      </c>
      <c r="BD23" s="4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</row>
    <row r="24" spans="1:61" x14ac:dyDescent="0.3">
      <c r="A24" s="4">
        <v>20</v>
      </c>
      <c r="B24" s="5" t="s">
        <v>59</v>
      </c>
      <c r="C24" s="5" t="s">
        <v>246</v>
      </c>
      <c r="D24" s="5" t="s">
        <v>248</v>
      </c>
      <c r="E24" s="10" t="str">
        <f t="shared" si="0"/>
        <v>375-01108</v>
      </c>
      <c r="F24" s="5" t="s">
        <v>101</v>
      </c>
      <c r="G24" s="5" t="s">
        <v>102</v>
      </c>
      <c r="H24" s="5" t="s">
        <v>82</v>
      </c>
      <c r="I24" s="6">
        <v>0</v>
      </c>
      <c r="J24" s="6">
        <v>0</v>
      </c>
      <c r="K24" s="4" t="b">
        <v>0</v>
      </c>
      <c r="L24" s="4" t="b">
        <v>0</v>
      </c>
      <c r="M24" s="6">
        <v>0</v>
      </c>
      <c r="N24" s="6">
        <v>0</v>
      </c>
      <c r="O24" s="4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14</v>
      </c>
      <c r="X24" s="6">
        <v>0</v>
      </c>
      <c r="Y24" s="6">
        <v>0</v>
      </c>
      <c r="Z24" s="6">
        <v>-747.7</v>
      </c>
      <c r="AA24" s="6">
        <v>-747.7</v>
      </c>
      <c r="AB24" s="6">
        <v>0</v>
      </c>
      <c r="AC24" s="6">
        <v>0</v>
      </c>
      <c r="AD24" s="6">
        <v>-747.7</v>
      </c>
      <c r="AE24" s="6">
        <v>-747.7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747.7</v>
      </c>
      <c r="AY24" s="6">
        <v>747.7</v>
      </c>
      <c r="AZ24" s="6">
        <v>0</v>
      </c>
      <c r="BA24" s="6">
        <v>0</v>
      </c>
      <c r="BB24" s="6">
        <v>0</v>
      </c>
      <c r="BC24" s="6">
        <v>0</v>
      </c>
      <c r="BD24" s="4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</row>
    <row r="25" spans="1:61" x14ac:dyDescent="0.3">
      <c r="A25" s="4">
        <v>21</v>
      </c>
      <c r="B25" s="5" t="s">
        <v>59</v>
      </c>
      <c r="C25" s="5" t="s">
        <v>243</v>
      </c>
      <c r="D25" s="5" t="s">
        <v>255</v>
      </c>
      <c r="E25" s="10" t="str">
        <f t="shared" si="0"/>
        <v>375-01200</v>
      </c>
      <c r="F25" s="5" t="s">
        <v>103</v>
      </c>
      <c r="G25" s="5" t="s">
        <v>104</v>
      </c>
      <c r="H25" s="5" t="s">
        <v>82</v>
      </c>
      <c r="I25" s="6">
        <v>0</v>
      </c>
      <c r="J25" s="6">
        <v>0</v>
      </c>
      <c r="K25" s="4" t="b">
        <v>0</v>
      </c>
      <c r="L25" s="4" t="b">
        <v>0</v>
      </c>
      <c r="M25" s="6">
        <v>0</v>
      </c>
      <c r="N25" s="6">
        <v>0</v>
      </c>
      <c r="O25" s="4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14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4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</row>
    <row r="26" spans="1:61" x14ac:dyDescent="0.3">
      <c r="A26" s="4">
        <v>22</v>
      </c>
      <c r="B26" s="5" t="s">
        <v>59</v>
      </c>
      <c r="C26" s="5" t="s">
        <v>243</v>
      </c>
      <c r="D26" s="5" t="s">
        <v>255</v>
      </c>
      <c r="E26" s="10" t="str">
        <f t="shared" si="0"/>
        <v>375-01201</v>
      </c>
      <c r="F26" s="5" t="s">
        <v>105</v>
      </c>
      <c r="G26" s="5" t="s">
        <v>106</v>
      </c>
      <c r="H26" s="5" t="s">
        <v>82</v>
      </c>
      <c r="I26" s="6">
        <v>0</v>
      </c>
      <c r="J26" s="6">
        <v>0</v>
      </c>
      <c r="K26" s="4" t="b">
        <v>0</v>
      </c>
      <c r="L26" s="4" t="b">
        <v>0</v>
      </c>
      <c r="M26" s="6">
        <v>0</v>
      </c>
      <c r="N26" s="6">
        <v>0</v>
      </c>
      <c r="O26" s="4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14</v>
      </c>
      <c r="X26" s="6">
        <v>0</v>
      </c>
      <c r="Y26" s="6">
        <v>0</v>
      </c>
      <c r="Z26" s="6">
        <v>13888.89</v>
      </c>
      <c r="AA26" s="6">
        <v>13888.89</v>
      </c>
      <c r="AB26" s="6">
        <v>0</v>
      </c>
      <c r="AC26" s="6">
        <v>0</v>
      </c>
      <c r="AD26" s="6">
        <v>12519.78</v>
      </c>
      <c r="AE26" s="6">
        <v>12519.78</v>
      </c>
      <c r="AF26" s="6">
        <v>0</v>
      </c>
      <c r="AG26" s="6">
        <v>0</v>
      </c>
      <c r="AH26" s="6">
        <v>1369.11</v>
      </c>
      <c r="AI26" s="6">
        <v>1369.11</v>
      </c>
      <c r="AJ26" s="6">
        <v>0</v>
      </c>
      <c r="AK26" s="6">
        <v>0</v>
      </c>
      <c r="AL26" s="6">
        <v>11068</v>
      </c>
      <c r="AM26" s="6">
        <v>11068</v>
      </c>
      <c r="AN26" s="6">
        <v>0</v>
      </c>
      <c r="AO26" s="6">
        <v>0</v>
      </c>
      <c r="AP26" s="6">
        <v>11068</v>
      </c>
      <c r="AQ26" s="6">
        <v>11068</v>
      </c>
      <c r="AR26" s="6">
        <v>0</v>
      </c>
      <c r="AS26" s="6">
        <v>0</v>
      </c>
      <c r="AT26" s="6">
        <v>-25.486899168774841</v>
      </c>
      <c r="AU26" s="6">
        <v>-25.486899168774841</v>
      </c>
      <c r="AV26" s="6">
        <v>0</v>
      </c>
      <c r="AW26" s="6">
        <v>0</v>
      </c>
      <c r="AX26" s="6">
        <v>-2820.8899999999994</v>
      </c>
      <c r="AY26" s="6">
        <v>-2820.8899999999994</v>
      </c>
      <c r="AZ26" s="6">
        <v>0</v>
      </c>
      <c r="BA26" s="6">
        <v>0</v>
      </c>
      <c r="BB26" s="6">
        <v>0</v>
      </c>
      <c r="BC26" s="6">
        <v>0</v>
      </c>
      <c r="BD26" s="4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</row>
    <row r="27" spans="1:61" x14ac:dyDescent="0.3">
      <c r="A27" s="4">
        <v>23</v>
      </c>
      <c r="B27" s="5" t="s">
        <v>59</v>
      </c>
      <c r="C27" s="5" t="s">
        <v>243</v>
      </c>
      <c r="D27" s="5" t="s">
        <v>255</v>
      </c>
      <c r="E27" s="10" t="str">
        <f t="shared" si="0"/>
        <v>375-01202</v>
      </c>
      <c r="F27" s="5" t="s">
        <v>107</v>
      </c>
      <c r="G27" s="5" t="s">
        <v>108</v>
      </c>
      <c r="H27" s="5" t="s">
        <v>82</v>
      </c>
      <c r="I27" s="6">
        <v>0</v>
      </c>
      <c r="J27" s="6">
        <v>0</v>
      </c>
      <c r="K27" s="4" t="b">
        <v>0</v>
      </c>
      <c r="L27" s="4" t="b">
        <v>0</v>
      </c>
      <c r="M27" s="6">
        <v>0</v>
      </c>
      <c r="N27" s="6">
        <v>0</v>
      </c>
      <c r="O27" s="4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14</v>
      </c>
      <c r="X27" s="6">
        <v>0</v>
      </c>
      <c r="Y27" s="6">
        <v>0</v>
      </c>
      <c r="Z27" s="6">
        <v>12872.54</v>
      </c>
      <c r="AA27" s="6">
        <v>12872.54</v>
      </c>
      <c r="AB27" s="6">
        <v>0</v>
      </c>
      <c r="AC27" s="6">
        <v>0</v>
      </c>
      <c r="AD27" s="6">
        <v>11431.19</v>
      </c>
      <c r="AE27" s="6">
        <v>11431.19</v>
      </c>
      <c r="AF27" s="6">
        <v>0</v>
      </c>
      <c r="AG27" s="6">
        <v>0</v>
      </c>
      <c r="AH27" s="6">
        <v>1441.35</v>
      </c>
      <c r="AI27" s="6">
        <v>1441.35</v>
      </c>
      <c r="AJ27" s="6">
        <v>0</v>
      </c>
      <c r="AK27" s="6">
        <v>0</v>
      </c>
      <c r="AL27" s="6">
        <v>11652</v>
      </c>
      <c r="AM27" s="6">
        <v>11652</v>
      </c>
      <c r="AN27" s="6">
        <v>0</v>
      </c>
      <c r="AO27" s="6">
        <v>0</v>
      </c>
      <c r="AP27" s="6">
        <v>11652</v>
      </c>
      <c r="AQ27" s="6">
        <v>11652</v>
      </c>
      <c r="AR27" s="6">
        <v>0</v>
      </c>
      <c r="AS27" s="6">
        <v>0</v>
      </c>
      <c r="AT27" s="6">
        <v>-10.474939924476493</v>
      </c>
      <c r="AU27" s="6">
        <v>-10.474939924476493</v>
      </c>
      <c r="AV27" s="6">
        <v>0</v>
      </c>
      <c r="AW27" s="6">
        <v>0</v>
      </c>
      <c r="AX27" s="6">
        <v>-1220.5400000000009</v>
      </c>
      <c r="AY27" s="6">
        <v>-1220.5400000000009</v>
      </c>
      <c r="AZ27" s="6">
        <v>0</v>
      </c>
      <c r="BA27" s="6">
        <v>0</v>
      </c>
      <c r="BB27" s="6">
        <v>0</v>
      </c>
      <c r="BC27" s="6">
        <v>0</v>
      </c>
      <c r="BD27" s="4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</row>
    <row r="28" spans="1:61" x14ac:dyDescent="0.3">
      <c r="A28" s="4">
        <v>24</v>
      </c>
      <c r="B28" s="5" t="s">
        <v>59</v>
      </c>
      <c r="C28" s="5" t="s">
        <v>246</v>
      </c>
      <c r="D28" s="5" t="s">
        <v>251</v>
      </c>
      <c r="E28" s="10" t="str">
        <f t="shared" si="0"/>
        <v>375-01300</v>
      </c>
      <c r="F28" s="5" t="s">
        <v>109</v>
      </c>
      <c r="G28" s="5" t="s">
        <v>110</v>
      </c>
      <c r="H28" s="5" t="s">
        <v>62</v>
      </c>
      <c r="I28" s="6">
        <v>0</v>
      </c>
      <c r="J28" s="6">
        <v>0</v>
      </c>
      <c r="K28" s="4" t="b">
        <v>0</v>
      </c>
      <c r="L28" s="4" t="b">
        <v>0</v>
      </c>
      <c r="M28" s="6">
        <v>0</v>
      </c>
      <c r="N28" s="6">
        <v>0</v>
      </c>
      <c r="O28" s="4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14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4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</row>
    <row r="29" spans="1:61" x14ac:dyDescent="0.3">
      <c r="A29" s="4">
        <v>25</v>
      </c>
      <c r="B29" s="5" t="s">
        <v>59</v>
      </c>
      <c r="C29" s="5" t="s">
        <v>246</v>
      </c>
      <c r="D29" s="5" t="s">
        <v>251</v>
      </c>
      <c r="E29" s="10" t="str">
        <f t="shared" si="0"/>
        <v>375-01301</v>
      </c>
      <c r="F29" s="5" t="s">
        <v>111</v>
      </c>
      <c r="G29" s="5" t="s">
        <v>112</v>
      </c>
      <c r="H29" s="5" t="s">
        <v>62</v>
      </c>
      <c r="I29" s="6">
        <v>21905.68</v>
      </c>
      <c r="J29" s="6">
        <v>52000</v>
      </c>
      <c r="K29" s="4" t="b">
        <v>1</v>
      </c>
      <c r="L29" s="4" t="b">
        <v>1</v>
      </c>
      <c r="M29" s="6">
        <v>74177.210000000006</v>
      </c>
      <c r="N29" s="6">
        <v>65861.86</v>
      </c>
      <c r="O29" s="4">
        <v>0</v>
      </c>
      <c r="P29" s="6">
        <v>57921.46</v>
      </c>
      <c r="Q29" s="6">
        <v>7940.4</v>
      </c>
      <c r="R29" s="6">
        <v>-13861.86</v>
      </c>
      <c r="S29" s="6">
        <v>-26.657423076923077</v>
      </c>
      <c r="T29" s="6">
        <v>21905.68</v>
      </c>
      <c r="U29" s="6">
        <v>34662.1</v>
      </c>
      <c r="V29" s="6">
        <v>480</v>
      </c>
      <c r="W29" s="6">
        <v>14</v>
      </c>
      <c r="X29" s="6">
        <v>138578.78</v>
      </c>
      <c r="Y29" s="6">
        <v>204440.64</v>
      </c>
      <c r="Z29" s="6">
        <v>316845.13</v>
      </c>
      <c r="AA29" s="6">
        <v>382706.99</v>
      </c>
      <c r="AB29" s="6">
        <v>113116.7</v>
      </c>
      <c r="AC29" s="6">
        <v>171038.16</v>
      </c>
      <c r="AD29" s="6">
        <v>266349.86</v>
      </c>
      <c r="AE29" s="6">
        <v>324271.32</v>
      </c>
      <c r="AF29" s="6">
        <v>25462.080000000002</v>
      </c>
      <c r="AG29" s="6">
        <v>33402.480000000003</v>
      </c>
      <c r="AH29" s="6">
        <v>50495.27</v>
      </c>
      <c r="AI29" s="6">
        <v>58435.67</v>
      </c>
      <c r="AJ29" s="6">
        <v>166745.79999999999</v>
      </c>
      <c r="AK29" s="6">
        <v>218745.8</v>
      </c>
      <c r="AL29" s="6">
        <v>342171.07</v>
      </c>
      <c r="AM29" s="6">
        <v>394171.07</v>
      </c>
      <c r="AN29" s="6">
        <v>167927.91</v>
      </c>
      <c r="AO29" s="6">
        <v>189833.59</v>
      </c>
      <c r="AP29" s="6">
        <v>298088.18</v>
      </c>
      <c r="AQ29" s="6">
        <v>319993.86</v>
      </c>
      <c r="AR29" s="6">
        <v>16.892191587434279</v>
      </c>
      <c r="AS29" s="6">
        <v>6.5396272751293854</v>
      </c>
      <c r="AT29" s="6">
        <v>7.4015433274356015</v>
      </c>
      <c r="AU29" s="6">
        <v>2.9084021818242562</v>
      </c>
      <c r="AV29" s="6">
        <v>28167.01999999999</v>
      </c>
      <c r="AW29" s="6">
        <v>14305.159999999974</v>
      </c>
      <c r="AX29" s="6">
        <v>25325.940000000002</v>
      </c>
      <c r="AY29" s="6">
        <v>11464.080000000016</v>
      </c>
      <c r="AZ29" s="6">
        <v>30094.32</v>
      </c>
      <c r="BA29" s="6">
        <v>0</v>
      </c>
      <c r="BB29" s="6">
        <v>28912.21</v>
      </c>
      <c r="BC29" s="6">
        <v>44082.89</v>
      </c>
      <c r="BD29" s="4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</row>
    <row r="30" spans="1:61" x14ac:dyDescent="0.3">
      <c r="A30" s="4">
        <v>26</v>
      </c>
      <c r="B30" s="5" t="s">
        <v>59</v>
      </c>
      <c r="C30" s="5" t="s">
        <v>246</v>
      </c>
      <c r="D30" s="5" t="s">
        <v>251</v>
      </c>
      <c r="E30" s="10" t="str">
        <f t="shared" si="0"/>
        <v>375-01302</v>
      </c>
      <c r="F30" s="5" t="s">
        <v>113</v>
      </c>
      <c r="G30" s="5" t="s">
        <v>114</v>
      </c>
      <c r="H30" s="5" t="s">
        <v>62</v>
      </c>
      <c r="I30" s="6">
        <v>0</v>
      </c>
      <c r="J30" s="6">
        <v>0</v>
      </c>
      <c r="K30" s="4" t="b">
        <v>0</v>
      </c>
      <c r="L30" s="4" t="b">
        <v>0</v>
      </c>
      <c r="M30" s="6">
        <v>0</v>
      </c>
      <c r="N30" s="6">
        <v>0</v>
      </c>
      <c r="O30" s="4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14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4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</row>
    <row r="31" spans="1:61" x14ac:dyDescent="0.3">
      <c r="A31" s="4">
        <v>27</v>
      </c>
      <c r="B31" s="5" t="s">
        <v>59</v>
      </c>
      <c r="C31" s="5" t="s">
        <v>243</v>
      </c>
      <c r="D31" s="5" t="s">
        <v>255</v>
      </c>
      <c r="E31" s="10" t="str">
        <f t="shared" si="0"/>
        <v>375-01500</v>
      </c>
      <c r="F31" s="5" t="s">
        <v>115</v>
      </c>
      <c r="G31" s="5" t="s">
        <v>116</v>
      </c>
      <c r="H31" s="5" t="s">
        <v>82</v>
      </c>
      <c r="I31" s="6">
        <v>0</v>
      </c>
      <c r="J31" s="6">
        <v>0</v>
      </c>
      <c r="K31" s="4" t="b">
        <v>0</v>
      </c>
      <c r="L31" s="4" t="b">
        <v>0</v>
      </c>
      <c r="M31" s="6">
        <v>0</v>
      </c>
      <c r="N31" s="6">
        <v>0</v>
      </c>
      <c r="O31" s="4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14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4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</row>
    <row r="32" spans="1:61" x14ac:dyDescent="0.3">
      <c r="A32" s="4">
        <v>28</v>
      </c>
      <c r="B32" s="5" t="s">
        <v>59</v>
      </c>
      <c r="C32" s="5" t="s">
        <v>243</v>
      </c>
      <c r="D32" s="5" t="s">
        <v>255</v>
      </c>
      <c r="E32" s="10" t="str">
        <f t="shared" si="0"/>
        <v>375-01501</v>
      </c>
      <c r="F32" s="5" t="s">
        <v>117</v>
      </c>
      <c r="G32" s="5" t="s">
        <v>118</v>
      </c>
      <c r="H32" s="5" t="s">
        <v>82</v>
      </c>
      <c r="I32" s="6">
        <v>1269</v>
      </c>
      <c r="J32" s="6">
        <v>1269</v>
      </c>
      <c r="K32" s="4" t="b">
        <v>1</v>
      </c>
      <c r="L32" s="4" t="b">
        <v>1</v>
      </c>
      <c r="M32" s="6">
        <v>0</v>
      </c>
      <c r="N32" s="6">
        <v>1080.49</v>
      </c>
      <c r="O32" s="4">
        <v>0</v>
      </c>
      <c r="P32" s="6">
        <v>886.71</v>
      </c>
      <c r="Q32" s="6">
        <v>193.78</v>
      </c>
      <c r="R32" s="6">
        <v>188.51</v>
      </c>
      <c r="S32" s="6">
        <v>14.855003940110322</v>
      </c>
      <c r="T32" s="6">
        <v>1269</v>
      </c>
      <c r="U32" s="6">
        <v>1080.49</v>
      </c>
      <c r="V32" s="6">
        <v>0</v>
      </c>
      <c r="W32" s="6">
        <v>14</v>
      </c>
      <c r="X32" s="6">
        <v>4442.3500000000004</v>
      </c>
      <c r="Y32" s="6">
        <v>5522.84</v>
      </c>
      <c r="Z32" s="6">
        <v>35429.51</v>
      </c>
      <c r="AA32" s="6">
        <v>36510</v>
      </c>
      <c r="AB32" s="6">
        <v>3910.11</v>
      </c>
      <c r="AC32" s="6">
        <v>4796.82</v>
      </c>
      <c r="AD32" s="6">
        <v>30565.87</v>
      </c>
      <c r="AE32" s="6">
        <v>31452.579999999998</v>
      </c>
      <c r="AF32" s="6">
        <v>532.24</v>
      </c>
      <c r="AG32" s="6">
        <v>726.02</v>
      </c>
      <c r="AH32" s="6">
        <v>4863.6400000000003</v>
      </c>
      <c r="AI32" s="6">
        <v>5057.42</v>
      </c>
      <c r="AJ32" s="6">
        <v>3485.5</v>
      </c>
      <c r="AK32" s="6">
        <v>4754.5</v>
      </c>
      <c r="AL32" s="6">
        <v>35895</v>
      </c>
      <c r="AM32" s="6">
        <v>37164</v>
      </c>
      <c r="AN32" s="6">
        <v>3485.5</v>
      </c>
      <c r="AO32" s="6">
        <v>4754.5</v>
      </c>
      <c r="AP32" s="6">
        <v>35895</v>
      </c>
      <c r="AQ32" s="6">
        <v>37164</v>
      </c>
      <c r="AR32" s="6">
        <v>-27.452302395639087</v>
      </c>
      <c r="AS32" s="6">
        <v>-16.16026921863498</v>
      </c>
      <c r="AT32" s="6">
        <v>1.2968101406881125</v>
      </c>
      <c r="AU32" s="6">
        <v>1.7597675169518889</v>
      </c>
      <c r="AV32" s="6">
        <v>-956.85000000000036</v>
      </c>
      <c r="AW32" s="6">
        <v>-768.34000000000015</v>
      </c>
      <c r="AX32" s="6">
        <v>465.48999999999796</v>
      </c>
      <c r="AY32" s="6">
        <v>654</v>
      </c>
      <c r="AZ32" s="6">
        <v>0</v>
      </c>
      <c r="BA32" s="6">
        <v>0</v>
      </c>
      <c r="BB32" s="6">
        <v>0</v>
      </c>
      <c r="BC32" s="6">
        <v>0</v>
      </c>
      <c r="BD32" s="4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</row>
    <row r="33" spans="1:61" x14ac:dyDescent="0.3">
      <c r="A33" s="4">
        <v>29</v>
      </c>
      <c r="B33" s="5" t="s">
        <v>59</v>
      </c>
      <c r="C33" s="5" t="s">
        <v>243</v>
      </c>
      <c r="D33" s="5" t="s">
        <v>255</v>
      </c>
      <c r="E33" s="10" t="str">
        <f t="shared" si="0"/>
        <v>375-01502</v>
      </c>
      <c r="F33" s="5" t="s">
        <v>119</v>
      </c>
      <c r="G33" s="5" t="s">
        <v>120</v>
      </c>
      <c r="H33" s="5" t="s">
        <v>82</v>
      </c>
      <c r="I33" s="6">
        <v>0</v>
      </c>
      <c r="J33" s="6">
        <v>0</v>
      </c>
      <c r="K33" s="4" t="b">
        <v>0</v>
      </c>
      <c r="L33" s="4" t="b">
        <v>0</v>
      </c>
      <c r="M33" s="6">
        <v>0</v>
      </c>
      <c r="N33" s="6">
        <v>0</v>
      </c>
      <c r="O33" s="4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14</v>
      </c>
      <c r="X33" s="6">
        <v>0</v>
      </c>
      <c r="Y33" s="6">
        <v>0</v>
      </c>
      <c r="Z33" s="6">
        <v>59095.99</v>
      </c>
      <c r="AA33" s="6">
        <v>59095.99</v>
      </c>
      <c r="AB33" s="6">
        <v>0</v>
      </c>
      <c r="AC33" s="6">
        <v>0</v>
      </c>
      <c r="AD33" s="6">
        <v>51066.03</v>
      </c>
      <c r="AE33" s="6">
        <v>51066.03</v>
      </c>
      <c r="AF33" s="6">
        <v>0</v>
      </c>
      <c r="AG33" s="6">
        <v>0</v>
      </c>
      <c r="AH33" s="6">
        <v>8029.96</v>
      </c>
      <c r="AI33" s="6">
        <v>8029.96</v>
      </c>
      <c r="AJ33" s="6">
        <v>0</v>
      </c>
      <c r="AK33" s="6">
        <v>0</v>
      </c>
      <c r="AL33" s="6">
        <v>60878.5</v>
      </c>
      <c r="AM33" s="6">
        <v>60878.5</v>
      </c>
      <c r="AN33" s="6">
        <v>0</v>
      </c>
      <c r="AO33" s="6">
        <v>0</v>
      </c>
      <c r="AP33" s="6">
        <v>60878.5</v>
      </c>
      <c r="AQ33" s="6">
        <v>60878.5</v>
      </c>
      <c r="AR33" s="6">
        <v>0</v>
      </c>
      <c r="AS33" s="6">
        <v>0</v>
      </c>
      <c r="AT33" s="6">
        <v>2.9279795001519453</v>
      </c>
      <c r="AU33" s="6">
        <v>2.9279795001519453</v>
      </c>
      <c r="AV33" s="6">
        <v>0</v>
      </c>
      <c r="AW33" s="6">
        <v>0</v>
      </c>
      <c r="AX33" s="6">
        <v>1782.510000000002</v>
      </c>
      <c r="AY33" s="6">
        <v>1782.510000000002</v>
      </c>
      <c r="AZ33" s="6">
        <v>0</v>
      </c>
      <c r="BA33" s="6">
        <v>0</v>
      </c>
      <c r="BB33" s="6">
        <v>0</v>
      </c>
      <c r="BC33" s="6">
        <v>0</v>
      </c>
      <c r="BD33" s="4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</row>
    <row r="34" spans="1:61" x14ac:dyDescent="0.3">
      <c r="A34" s="4">
        <v>30</v>
      </c>
      <c r="B34" s="5" t="s">
        <v>59</v>
      </c>
      <c r="C34" s="5" t="s">
        <v>243</v>
      </c>
      <c r="D34" s="5" t="s">
        <v>255</v>
      </c>
      <c r="E34" s="10" t="str">
        <f t="shared" si="0"/>
        <v>375-01503</v>
      </c>
      <c r="F34" s="5" t="s">
        <v>121</v>
      </c>
      <c r="G34" s="5" t="s">
        <v>122</v>
      </c>
      <c r="H34" s="5" t="s">
        <v>82</v>
      </c>
      <c r="I34" s="6">
        <v>1143</v>
      </c>
      <c r="J34" s="6">
        <v>1143</v>
      </c>
      <c r="K34" s="4" t="b">
        <v>1</v>
      </c>
      <c r="L34" s="4" t="b">
        <v>1</v>
      </c>
      <c r="M34" s="6">
        <v>0</v>
      </c>
      <c r="N34" s="6">
        <v>1053.71</v>
      </c>
      <c r="O34" s="4">
        <v>0</v>
      </c>
      <c r="P34" s="6">
        <v>879.17</v>
      </c>
      <c r="Q34" s="6">
        <v>174.54</v>
      </c>
      <c r="R34" s="6">
        <v>89.289999999999964</v>
      </c>
      <c r="S34" s="6">
        <v>7.8118985126859108</v>
      </c>
      <c r="T34" s="6">
        <v>1143</v>
      </c>
      <c r="U34" s="6">
        <v>1053.71</v>
      </c>
      <c r="V34" s="6">
        <v>0</v>
      </c>
      <c r="W34" s="6">
        <v>14</v>
      </c>
      <c r="X34" s="6">
        <v>1188.5899999999999</v>
      </c>
      <c r="Y34" s="6">
        <v>2242.3000000000002</v>
      </c>
      <c r="Z34" s="6">
        <v>38069.480000000003</v>
      </c>
      <c r="AA34" s="6">
        <v>39123.19</v>
      </c>
      <c r="AB34" s="6">
        <v>873.95</v>
      </c>
      <c r="AC34" s="6">
        <v>1753.12</v>
      </c>
      <c r="AD34" s="6">
        <v>32225.25</v>
      </c>
      <c r="AE34" s="6">
        <v>33104.42</v>
      </c>
      <c r="AF34" s="6">
        <v>314.64</v>
      </c>
      <c r="AG34" s="6">
        <v>489.17999999999995</v>
      </c>
      <c r="AH34" s="6">
        <v>5844.23</v>
      </c>
      <c r="AI34" s="6">
        <v>6018.7699999999995</v>
      </c>
      <c r="AJ34" s="6">
        <v>2060.5</v>
      </c>
      <c r="AK34" s="6">
        <v>3203.5</v>
      </c>
      <c r="AL34" s="6">
        <v>44650</v>
      </c>
      <c r="AM34" s="6">
        <v>45793</v>
      </c>
      <c r="AN34" s="6">
        <v>2060.5</v>
      </c>
      <c r="AO34" s="6">
        <v>3203.5</v>
      </c>
      <c r="AP34" s="6">
        <v>44650</v>
      </c>
      <c r="AQ34" s="6">
        <v>45793</v>
      </c>
      <c r="AR34" s="6">
        <v>42.315457413249213</v>
      </c>
      <c r="AS34" s="6">
        <v>30.004682378648344</v>
      </c>
      <c r="AT34" s="6">
        <v>14.738006718924964</v>
      </c>
      <c r="AU34" s="6">
        <v>14.565130041709425</v>
      </c>
      <c r="AV34" s="6">
        <v>871.91000000000008</v>
      </c>
      <c r="AW34" s="6">
        <v>961.19999999999982</v>
      </c>
      <c r="AX34" s="6">
        <v>6580.5199999999968</v>
      </c>
      <c r="AY34" s="6">
        <v>6669.8099999999977</v>
      </c>
      <c r="AZ34" s="6">
        <v>0</v>
      </c>
      <c r="BA34" s="6">
        <v>0</v>
      </c>
      <c r="BB34" s="6">
        <v>0</v>
      </c>
      <c r="BC34" s="6">
        <v>0</v>
      </c>
      <c r="BD34" s="4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</row>
    <row r="35" spans="1:61" x14ac:dyDescent="0.3">
      <c r="A35" s="4">
        <v>31</v>
      </c>
      <c r="B35" s="5" t="s">
        <v>59</v>
      </c>
      <c r="C35" s="5" t="s">
        <v>243</v>
      </c>
      <c r="D35" s="5" t="s">
        <v>255</v>
      </c>
      <c r="E35" s="10" t="str">
        <f t="shared" si="0"/>
        <v>375-01504</v>
      </c>
      <c r="F35" s="5" t="s">
        <v>123</v>
      </c>
      <c r="G35" s="5" t="s">
        <v>124</v>
      </c>
      <c r="H35" s="5" t="s">
        <v>82</v>
      </c>
      <c r="I35" s="6">
        <v>0</v>
      </c>
      <c r="J35" s="6">
        <v>0</v>
      </c>
      <c r="K35" s="4" t="b">
        <v>0</v>
      </c>
      <c r="L35" s="4" t="b">
        <v>0</v>
      </c>
      <c r="M35" s="6">
        <v>0</v>
      </c>
      <c r="N35" s="6">
        <v>0</v>
      </c>
      <c r="O35" s="4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14</v>
      </c>
      <c r="X35" s="6">
        <v>0</v>
      </c>
      <c r="Y35" s="6">
        <v>0</v>
      </c>
      <c r="Z35" s="6">
        <v>22081.13</v>
      </c>
      <c r="AA35" s="6">
        <v>22081.13</v>
      </c>
      <c r="AB35" s="6">
        <v>0</v>
      </c>
      <c r="AC35" s="6">
        <v>0</v>
      </c>
      <c r="AD35" s="6">
        <v>18275.71</v>
      </c>
      <c r="AE35" s="6">
        <v>18275.71</v>
      </c>
      <c r="AF35" s="6">
        <v>0</v>
      </c>
      <c r="AG35" s="6">
        <v>0</v>
      </c>
      <c r="AH35" s="6">
        <v>3805.42</v>
      </c>
      <c r="AI35" s="6">
        <v>3805.42</v>
      </c>
      <c r="AJ35" s="6">
        <v>0</v>
      </c>
      <c r="AK35" s="6">
        <v>0</v>
      </c>
      <c r="AL35" s="6">
        <v>29304</v>
      </c>
      <c r="AM35" s="6">
        <v>29304</v>
      </c>
      <c r="AN35" s="6">
        <v>0</v>
      </c>
      <c r="AO35" s="6">
        <v>0</v>
      </c>
      <c r="AP35" s="6">
        <v>29304</v>
      </c>
      <c r="AQ35" s="6">
        <v>29304</v>
      </c>
      <c r="AR35" s="6">
        <v>0</v>
      </c>
      <c r="AS35" s="6">
        <v>0</v>
      </c>
      <c r="AT35" s="6">
        <v>24.64806852306852</v>
      </c>
      <c r="AU35" s="6">
        <v>24.64806852306852</v>
      </c>
      <c r="AV35" s="6">
        <v>0</v>
      </c>
      <c r="AW35" s="6">
        <v>0</v>
      </c>
      <c r="AX35" s="6">
        <v>7222.869999999999</v>
      </c>
      <c r="AY35" s="6">
        <v>7222.869999999999</v>
      </c>
      <c r="AZ35" s="6">
        <v>0</v>
      </c>
      <c r="BA35" s="6">
        <v>0</v>
      </c>
      <c r="BB35" s="6">
        <v>0</v>
      </c>
      <c r="BC35" s="6">
        <v>0</v>
      </c>
      <c r="BD35" s="4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</row>
    <row r="36" spans="1:61" x14ac:dyDescent="0.3">
      <c r="A36" s="4">
        <v>32</v>
      </c>
      <c r="B36" s="5" t="s">
        <v>59</v>
      </c>
      <c r="C36" s="5" t="s">
        <v>243</v>
      </c>
      <c r="D36" s="5" t="s">
        <v>244</v>
      </c>
      <c r="E36" s="10" t="str">
        <f t="shared" si="0"/>
        <v>375-01600</v>
      </c>
      <c r="F36" s="5" t="s">
        <v>125</v>
      </c>
      <c r="G36" s="5" t="s">
        <v>126</v>
      </c>
      <c r="H36" s="5" t="s">
        <v>62</v>
      </c>
      <c r="I36" s="6">
        <v>0</v>
      </c>
      <c r="J36" s="6">
        <v>0</v>
      </c>
      <c r="K36" s="4" t="b">
        <v>0</v>
      </c>
      <c r="L36" s="4" t="b">
        <v>0</v>
      </c>
      <c r="M36" s="6">
        <v>0</v>
      </c>
      <c r="N36" s="6">
        <v>0</v>
      </c>
      <c r="O36" s="4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14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4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</row>
    <row r="37" spans="1:61" x14ac:dyDescent="0.3">
      <c r="A37" s="4">
        <v>33</v>
      </c>
      <c r="B37" s="5" t="s">
        <v>59</v>
      </c>
      <c r="C37" s="5" t="s">
        <v>243</v>
      </c>
      <c r="D37" s="5" t="s">
        <v>244</v>
      </c>
      <c r="E37" s="10" t="str">
        <f t="shared" si="0"/>
        <v>375-01601</v>
      </c>
      <c r="F37" s="5" t="s">
        <v>127</v>
      </c>
      <c r="G37" s="5" t="s">
        <v>128</v>
      </c>
      <c r="H37" s="5" t="s">
        <v>62</v>
      </c>
      <c r="I37" s="6">
        <v>0</v>
      </c>
      <c r="J37" s="6">
        <v>0</v>
      </c>
      <c r="K37" s="4" t="b">
        <v>0</v>
      </c>
      <c r="L37" s="4" t="b">
        <v>0</v>
      </c>
      <c r="M37" s="6">
        <v>0</v>
      </c>
      <c r="N37" s="6">
        <v>0</v>
      </c>
      <c r="O37" s="4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14</v>
      </c>
      <c r="X37" s="6">
        <v>0</v>
      </c>
      <c r="Y37" s="6">
        <v>0</v>
      </c>
      <c r="Z37" s="6">
        <v>9219.7099999999991</v>
      </c>
      <c r="AA37" s="6">
        <v>9219.7099999999991</v>
      </c>
      <c r="AB37" s="6">
        <v>0</v>
      </c>
      <c r="AC37" s="6">
        <v>0</v>
      </c>
      <c r="AD37" s="6">
        <v>7808.32</v>
      </c>
      <c r="AE37" s="6">
        <v>7808.32</v>
      </c>
      <c r="AF37" s="6">
        <v>0</v>
      </c>
      <c r="AG37" s="6">
        <v>0</v>
      </c>
      <c r="AH37" s="6">
        <v>1411.39</v>
      </c>
      <c r="AI37" s="6">
        <v>1411.39</v>
      </c>
      <c r="AJ37" s="6">
        <v>0</v>
      </c>
      <c r="AK37" s="6">
        <v>0</v>
      </c>
      <c r="AL37" s="6">
        <v>11221.36</v>
      </c>
      <c r="AM37" s="6">
        <v>11221.36</v>
      </c>
      <c r="AN37" s="6">
        <v>0</v>
      </c>
      <c r="AO37" s="6">
        <v>0</v>
      </c>
      <c r="AP37" s="6">
        <v>11221.36</v>
      </c>
      <c r="AQ37" s="6">
        <v>11221.36</v>
      </c>
      <c r="AR37" s="6">
        <v>0</v>
      </c>
      <c r="AS37" s="6">
        <v>0</v>
      </c>
      <c r="AT37" s="6">
        <v>17.837855660989412</v>
      </c>
      <c r="AU37" s="6">
        <v>17.837855660989412</v>
      </c>
      <c r="AV37" s="6">
        <v>0</v>
      </c>
      <c r="AW37" s="6">
        <v>0</v>
      </c>
      <c r="AX37" s="6">
        <v>2001.6500000000015</v>
      </c>
      <c r="AY37" s="6">
        <v>2001.6500000000015</v>
      </c>
      <c r="AZ37" s="6">
        <v>0</v>
      </c>
      <c r="BA37" s="6">
        <v>0</v>
      </c>
      <c r="BB37" s="6">
        <v>0</v>
      </c>
      <c r="BC37" s="6">
        <v>0</v>
      </c>
      <c r="BD37" s="4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</row>
    <row r="38" spans="1:61" x14ac:dyDescent="0.3">
      <c r="A38" s="4">
        <v>34</v>
      </c>
      <c r="B38" s="5" t="s">
        <v>59</v>
      </c>
      <c r="C38" s="5" t="s">
        <v>243</v>
      </c>
      <c r="D38" s="5" t="s">
        <v>244</v>
      </c>
      <c r="E38" s="10" t="str">
        <f t="shared" si="0"/>
        <v>375-01602</v>
      </c>
      <c r="F38" s="5" t="s">
        <v>129</v>
      </c>
      <c r="G38" s="5" t="s">
        <v>130</v>
      </c>
      <c r="H38" s="5" t="s">
        <v>73</v>
      </c>
      <c r="I38" s="6">
        <v>0</v>
      </c>
      <c r="J38" s="6">
        <v>0</v>
      </c>
      <c r="K38" s="4" t="b">
        <v>0</v>
      </c>
      <c r="L38" s="4" t="b">
        <v>0</v>
      </c>
      <c r="M38" s="6">
        <v>0</v>
      </c>
      <c r="N38" s="6">
        <v>0</v>
      </c>
      <c r="O38" s="4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14</v>
      </c>
      <c r="X38" s="6">
        <v>390.22</v>
      </c>
      <c r="Y38" s="6">
        <v>390.22</v>
      </c>
      <c r="Z38" s="6">
        <v>1985.64</v>
      </c>
      <c r="AA38" s="6">
        <v>1985.64</v>
      </c>
      <c r="AB38" s="6">
        <v>0</v>
      </c>
      <c r="AC38" s="6">
        <v>0</v>
      </c>
      <c r="AD38" s="6">
        <v>1351.86</v>
      </c>
      <c r="AE38" s="6">
        <v>1351.86</v>
      </c>
      <c r="AF38" s="6">
        <v>390.22</v>
      </c>
      <c r="AG38" s="6">
        <v>390.22</v>
      </c>
      <c r="AH38" s="6">
        <v>633.78</v>
      </c>
      <c r="AI38" s="6">
        <v>633.78</v>
      </c>
      <c r="AJ38" s="6">
        <v>2555.5</v>
      </c>
      <c r="AK38" s="6">
        <v>2555.5</v>
      </c>
      <c r="AL38" s="6">
        <v>4325.5</v>
      </c>
      <c r="AM38" s="6">
        <v>4325.5</v>
      </c>
      <c r="AN38" s="6">
        <v>2555.5</v>
      </c>
      <c r="AO38" s="6">
        <v>2555.5</v>
      </c>
      <c r="AP38" s="6">
        <v>4325.5</v>
      </c>
      <c r="AQ38" s="6">
        <v>4325.5</v>
      </c>
      <c r="AR38" s="6">
        <v>84.730189786734485</v>
      </c>
      <c r="AS38" s="6">
        <v>84.730189786734485</v>
      </c>
      <c r="AT38" s="6">
        <v>54.094555542711817</v>
      </c>
      <c r="AU38" s="6">
        <v>54.094555542711817</v>
      </c>
      <c r="AV38" s="6">
        <v>2165.2799999999997</v>
      </c>
      <c r="AW38" s="6">
        <v>2165.2799999999997</v>
      </c>
      <c r="AX38" s="6">
        <v>2339.8599999999997</v>
      </c>
      <c r="AY38" s="6">
        <v>2339.8599999999997</v>
      </c>
      <c r="AZ38" s="6">
        <v>0</v>
      </c>
      <c r="BA38" s="6">
        <v>0</v>
      </c>
      <c r="BB38" s="6">
        <v>0</v>
      </c>
      <c r="BC38" s="6">
        <v>0</v>
      </c>
      <c r="BD38" s="4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</row>
    <row r="39" spans="1:61" x14ac:dyDescent="0.3">
      <c r="A39" s="4">
        <v>35</v>
      </c>
      <c r="B39" s="5" t="s">
        <v>59</v>
      </c>
      <c r="C39" s="5" t="s">
        <v>246</v>
      </c>
      <c r="D39" s="5" t="s">
        <v>248</v>
      </c>
      <c r="E39" s="10" t="str">
        <f t="shared" si="0"/>
        <v>375-01700</v>
      </c>
      <c r="F39" s="5" t="s">
        <v>131</v>
      </c>
      <c r="G39" s="5" t="s">
        <v>132</v>
      </c>
      <c r="H39" s="5" t="s">
        <v>82</v>
      </c>
      <c r="I39" s="6">
        <v>0</v>
      </c>
      <c r="J39" s="6">
        <v>0</v>
      </c>
      <c r="K39" s="4" t="b">
        <v>0</v>
      </c>
      <c r="L39" s="4" t="b">
        <v>0</v>
      </c>
      <c r="M39" s="6">
        <v>0</v>
      </c>
      <c r="N39" s="6">
        <v>0</v>
      </c>
      <c r="O39" s="4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14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4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</row>
    <row r="40" spans="1:61" x14ac:dyDescent="0.3">
      <c r="A40" s="4">
        <v>36</v>
      </c>
      <c r="B40" s="5" t="s">
        <v>59</v>
      </c>
      <c r="C40" s="5" t="s">
        <v>246</v>
      </c>
      <c r="D40" s="5" t="s">
        <v>251</v>
      </c>
      <c r="E40" s="10" t="str">
        <f t="shared" si="0"/>
        <v>375-01701</v>
      </c>
      <c r="F40" s="5" t="s">
        <v>133</v>
      </c>
      <c r="G40" s="5" t="s">
        <v>134</v>
      </c>
      <c r="H40" s="5" t="s">
        <v>82</v>
      </c>
      <c r="I40" s="6">
        <v>0</v>
      </c>
      <c r="J40" s="6">
        <v>0</v>
      </c>
      <c r="K40" s="4" t="b">
        <v>0</v>
      </c>
      <c r="L40" s="4" t="b">
        <v>0</v>
      </c>
      <c r="M40" s="6">
        <v>0</v>
      </c>
      <c r="N40" s="6">
        <v>0</v>
      </c>
      <c r="O40" s="4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14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4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</row>
    <row r="41" spans="1:61" x14ac:dyDescent="0.3">
      <c r="A41" s="4">
        <v>37</v>
      </c>
      <c r="B41" s="5" t="s">
        <v>59</v>
      </c>
      <c r="C41" s="5" t="s">
        <v>246</v>
      </c>
      <c r="D41" s="5" t="s">
        <v>247</v>
      </c>
      <c r="E41" s="10" t="str">
        <f t="shared" si="0"/>
        <v>375-01702</v>
      </c>
      <c r="F41" s="5" t="s">
        <v>135</v>
      </c>
      <c r="G41" s="5" t="s">
        <v>136</v>
      </c>
      <c r="H41" s="5" t="s">
        <v>82</v>
      </c>
      <c r="I41" s="6">
        <v>0</v>
      </c>
      <c r="J41" s="6">
        <v>0</v>
      </c>
      <c r="K41" s="4" t="b">
        <v>0</v>
      </c>
      <c r="L41" s="4" t="b">
        <v>0</v>
      </c>
      <c r="M41" s="6">
        <v>0</v>
      </c>
      <c r="N41" s="6">
        <v>0</v>
      </c>
      <c r="O41" s="4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14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4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</row>
    <row r="42" spans="1:61" x14ac:dyDescent="0.3">
      <c r="A42" s="4">
        <v>38</v>
      </c>
      <c r="B42" s="5" t="s">
        <v>59</v>
      </c>
      <c r="C42" s="5" t="s">
        <v>246</v>
      </c>
      <c r="D42" s="5" t="s">
        <v>247</v>
      </c>
      <c r="E42" s="10" t="str">
        <f t="shared" si="0"/>
        <v>375-01703</v>
      </c>
      <c r="F42" s="5" t="s">
        <v>135</v>
      </c>
      <c r="G42" s="5" t="s">
        <v>137</v>
      </c>
      <c r="H42" s="5" t="s">
        <v>82</v>
      </c>
      <c r="I42" s="6">
        <v>0</v>
      </c>
      <c r="J42" s="6">
        <v>0</v>
      </c>
      <c r="K42" s="4" t="b">
        <v>0</v>
      </c>
      <c r="L42" s="4" t="b">
        <v>0</v>
      </c>
      <c r="M42" s="6">
        <v>0</v>
      </c>
      <c r="N42" s="6">
        <v>0</v>
      </c>
      <c r="O42" s="4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14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4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</row>
    <row r="43" spans="1:61" x14ac:dyDescent="0.3">
      <c r="A43" s="4">
        <v>39</v>
      </c>
      <c r="B43" s="5" t="s">
        <v>59</v>
      </c>
      <c r="C43" s="5" t="s">
        <v>243</v>
      </c>
      <c r="D43" s="5" t="s">
        <v>245</v>
      </c>
      <c r="E43" s="10" t="str">
        <f t="shared" si="0"/>
        <v>375-01800</v>
      </c>
      <c r="F43" s="5" t="s">
        <v>138</v>
      </c>
      <c r="G43" s="5" t="s">
        <v>139</v>
      </c>
      <c r="H43" s="5" t="s">
        <v>82</v>
      </c>
      <c r="I43" s="6">
        <v>0</v>
      </c>
      <c r="J43" s="6">
        <v>0</v>
      </c>
      <c r="K43" s="4" t="b">
        <v>0</v>
      </c>
      <c r="L43" s="4" t="b">
        <v>0</v>
      </c>
      <c r="M43" s="6">
        <v>0</v>
      </c>
      <c r="N43" s="6">
        <v>0</v>
      </c>
      <c r="O43" s="4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14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4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</row>
    <row r="44" spans="1:61" x14ac:dyDescent="0.3">
      <c r="A44" s="4">
        <v>40</v>
      </c>
      <c r="B44" s="5" t="s">
        <v>59</v>
      </c>
      <c r="C44" s="5" t="s">
        <v>246</v>
      </c>
      <c r="D44" s="5" t="s">
        <v>251</v>
      </c>
      <c r="E44" s="10" t="str">
        <f t="shared" si="0"/>
        <v>375-01801</v>
      </c>
      <c r="F44" s="5" t="s">
        <v>133</v>
      </c>
      <c r="G44" s="5" t="s">
        <v>140</v>
      </c>
      <c r="H44" s="5" t="s">
        <v>82</v>
      </c>
      <c r="I44" s="6">
        <v>0</v>
      </c>
      <c r="J44" s="6">
        <v>0</v>
      </c>
      <c r="K44" s="4" t="b">
        <v>0</v>
      </c>
      <c r="L44" s="4" t="b">
        <v>0</v>
      </c>
      <c r="M44" s="6">
        <v>0</v>
      </c>
      <c r="N44" s="6">
        <v>0</v>
      </c>
      <c r="O44" s="4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14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4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</row>
    <row r="45" spans="1:61" x14ac:dyDescent="0.3">
      <c r="A45" s="4">
        <v>41</v>
      </c>
      <c r="B45" s="5" t="s">
        <v>59</v>
      </c>
      <c r="C45" s="5" t="s">
        <v>246</v>
      </c>
      <c r="D45" s="5" t="s">
        <v>247</v>
      </c>
      <c r="E45" s="10" t="str">
        <f t="shared" si="0"/>
        <v>375-01802</v>
      </c>
      <c r="F45" s="5" t="s">
        <v>135</v>
      </c>
      <c r="G45" s="5" t="s">
        <v>141</v>
      </c>
      <c r="H45" s="5" t="s">
        <v>82</v>
      </c>
      <c r="I45" s="6">
        <v>0</v>
      </c>
      <c r="J45" s="6">
        <v>0</v>
      </c>
      <c r="K45" s="4" t="b">
        <v>0</v>
      </c>
      <c r="L45" s="4" t="b">
        <v>0</v>
      </c>
      <c r="M45" s="6">
        <v>0</v>
      </c>
      <c r="N45" s="6">
        <v>0</v>
      </c>
      <c r="O45" s="4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14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4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</row>
    <row r="46" spans="1:61" x14ac:dyDescent="0.3">
      <c r="A46" s="4">
        <v>42</v>
      </c>
      <c r="B46" s="5" t="s">
        <v>59</v>
      </c>
      <c r="C46" s="5" t="s">
        <v>246</v>
      </c>
      <c r="D46" s="5" t="s">
        <v>249</v>
      </c>
      <c r="E46" s="10" t="str">
        <f t="shared" si="0"/>
        <v>375-01803</v>
      </c>
      <c r="F46" s="5" t="s">
        <v>142</v>
      </c>
      <c r="G46" s="5" t="s">
        <v>143</v>
      </c>
      <c r="H46" s="5" t="s">
        <v>82</v>
      </c>
      <c r="I46" s="6">
        <v>0</v>
      </c>
      <c r="J46" s="6">
        <v>0</v>
      </c>
      <c r="K46" s="4" t="b">
        <v>0</v>
      </c>
      <c r="L46" s="4" t="b">
        <v>0</v>
      </c>
      <c r="M46" s="6">
        <v>0</v>
      </c>
      <c r="N46" s="6">
        <v>0</v>
      </c>
      <c r="O46" s="4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14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4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</row>
    <row r="47" spans="1:61" x14ac:dyDescent="0.3">
      <c r="A47" s="4">
        <v>43</v>
      </c>
      <c r="B47" s="5" t="s">
        <v>59</v>
      </c>
      <c r="C47" s="5" t="s">
        <v>243</v>
      </c>
      <c r="D47" s="5" t="s">
        <v>245</v>
      </c>
      <c r="E47" s="10" t="str">
        <f t="shared" si="0"/>
        <v>375-01900</v>
      </c>
      <c r="F47" s="5" t="s">
        <v>144</v>
      </c>
      <c r="G47" s="5" t="s">
        <v>145</v>
      </c>
      <c r="H47" s="5" t="s">
        <v>62</v>
      </c>
      <c r="I47" s="6">
        <v>0</v>
      </c>
      <c r="J47" s="6">
        <v>0</v>
      </c>
      <c r="K47" s="4" t="b">
        <v>0</v>
      </c>
      <c r="L47" s="4" t="b">
        <v>0</v>
      </c>
      <c r="M47" s="6">
        <v>0</v>
      </c>
      <c r="N47" s="6">
        <v>0</v>
      </c>
      <c r="O47" s="4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14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4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</row>
    <row r="48" spans="1:61" x14ac:dyDescent="0.3">
      <c r="A48" s="4">
        <v>44</v>
      </c>
      <c r="B48" s="5" t="s">
        <v>59</v>
      </c>
      <c r="C48" s="5" t="s">
        <v>243</v>
      </c>
      <c r="D48" s="5" t="s">
        <v>245</v>
      </c>
      <c r="E48" s="10" t="str">
        <f t="shared" si="0"/>
        <v>375-01901</v>
      </c>
      <c r="F48" s="5" t="s">
        <v>146</v>
      </c>
      <c r="G48" s="5" t="s">
        <v>147</v>
      </c>
      <c r="H48" s="5" t="s">
        <v>73</v>
      </c>
      <c r="I48" s="6">
        <v>0</v>
      </c>
      <c r="J48" s="6">
        <v>0</v>
      </c>
      <c r="K48" s="4" t="b">
        <v>0</v>
      </c>
      <c r="L48" s="4" t="b">
        <v>0</v>
      </c>
      <c r="M48" s="6">
        <v>0</v>
      </c>
      <c r="N48" s="6">
        <v>0</v>
      </c>
      <c r="O48" s="4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14</v>
      </c>
      <c r="X48" s="6">
        <v>97.3</v>
      </c>
      <c r="Y48" s="6">
        <v>97.3</v>
      </c>
      <c r="Z48" s="6">
        <v>3277.92</v>
      </c>
      <c r="AA48" s="6">
        <v>3277.92</v>
      </c>
      <c r="AB48" s="6">
        <v>0</v>
      </c>
      <c r="AC48" s="6">
        <v>0</v>
      </c>
      <c r="AD48" s="6">
        <v>2721.31</v>
      </c>
      <c r="AE48" s="6">
        <v>2721.31</v>
      </c>
      <c r="AF48" s="6">
        <v>97.3</v>
      </c>
      <c r="AG48" s="6">
        <v>97.3</v>
      </c>
      <c r="AH48" s="6">
        <v>556.61</v>
      </c>
      <c r="AI48" s="6">
        <v>556.61</v>
      </c>
      <c r="AJ48" s="6">
        <v>637.17999999999995</v>
      </c>
      <c r="AK48" s="6">
        <v>637.17999999999995</v>
      </c>
      <c r="AL48" s="6">
        <v>3855.86</v>
      </c>
      <c r="AM48" s="6">
        <v>3855.86</v>
      </c>
      <c r="AN48" s="6">
        <v>0</v>
      </c>
      <c r="AO48" s="6">
        <v>0</v>
      </c>
      <c r="AP48" s="6">
        <v>3855.86</v>
      </c>
      <c r="AQ48" s="6">
        <v>3855.86</v>
      </c>
      <c r="AR48" s="6">
        <v>84.729589754857344</v>
      </c>
      <c r="AS48" s="6">
        <v>84.729589754857344</v>
      </c>
      <c r="AT48" s="6">
        <v>14.988614731862674</v>
      </c>
      <c r="AU48" s="6">
        <v>14.988614731862674</v>
      </c>
      <c r="AV48" s="6">
        <v>539.88</v>
      </c>
      <c r="AW48" s="6">
        <v>539.88</v>
      </c>
      <c r="AX48" s="6">
        <v>577.94000000000005</v>
      </c>
      <c r="AY48" s="6">
        <v>577.94000000000005</v>
      </c>
      <c r="AZ48" s="6">
        <v>0</v>
      </c>
      <c r="BA48" s="6">
        <v>637.17999999999995</v>
      </c>
      <c r="BB48" s="6">
        <v>637.17999999999995</v>
      </c>
      <c r="BC48" s="6">
        <v>0</v>
      </c>
      <c r="BD48" s="4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</row>
    <row r="49" spans="1:61" x14ac:dyDescent="0.3">
      <c r="A49" s="4">
        <v>45</v>
      </c>
      <c r="B49" s="5" t="s">
        <v>59</v>
      </c>
      <c r="C49" s="5" t="s">
        <v>243</v>
      </c>
      <c r="D49" s="5" t="s">
        <v>245</v>
      </c>
      <c r="E49" s="10" t="str">
        <f t="shared" si="0"/>
        <v>375-01902</v>
      </c>
      <c r="F49" s="5" t="s">
        <v>148</v>
      </c>
      <c r="G49" s="5" t="s">
        <v>149</v>
      </c>
      <c r="H49" s="5" t="s">
        <v>62</v>
      </c>
      <c r="I49" s="6">
        <v>0</v>
      </c>
      <c r="J49" s="6">
        <v>0</v>
      </c>
      <c r="K49" s="4" t="b">
        <v>0</v>
      </c>
      <c r="L49" s="4" t="b">
        <v>0</v>
      </c>
      <c r="M49" s="6">
        <v>637.17999999999995</v>
      </c>
      <c r="N49" s="6">
        <v>0.49</v>
      </c>
      <c r="O49" s="4">
        <v>0</v>
      </c>
      <c r="P49" s="6">
        <v>0.49</v>
      </c>
      <c r="Q49" s="6">
        <v>0</v>
      </c>
      <c r="R49" s="6">
        <v>-0.49</v>
      </c>
      <c r="S49" s="6">
        <v>0</v>
      </c>
      <c r="T49" s="6">
        <v>0</v>
      </c>
      <c r="U49" s="6">
        <v>0.45</v>
      </c>
      <c r="V49" s="6">
        <v>0</v>
      </c>
      <c r="W49" s="6">
        <v>14</v>
      </c>
      <c r="X49" s="6">
        <v>3975.28</v>
      </c>
      <c r="Y49" s="6">
        <v>3975.77</v>
      </c>
      <c r="Z49" s="6">
        <v>8342.2900000000009</v>
      </c>
      <c r="AA49" s="6">
        <v>8342.7800000000007</v>
      </c>
      <c r="AB49" s="6">
        <v>3748.29</v>
      </c>
      <c r="AC49" s="6">
        <v>3748.7799999999997</v>
      </c>
      <c r="AD49" s="6">
        <v>7260.7</v>
      </c>
      <c r="AE49" s="6">
        <v>7261.19</v>
      </c>
      <c r="AF49" s="6">
        <v>226.99</v>
      </c>
      <c r="AG49" s="6">
        <v>226.99</v>
      </c>
      <c r="AH49" s="6">
        <v>1081.5899999999999</v>
      </c>
      <c r="AI49" s="6">
        <v>1081.5899999999999</v>
      </c>
      <c r="AJ49" s="6">
        <v>1486.5</v>
      </c>
      <c r="AK49" s="6">
        <v>1486.5</v>
      </c>
      <c r="AL49" s="6">
        <v>7475.2</v>
      </c>
      <c r="AM49" s="6">
        <v>7475.2</v>
      </c>
      <c r="AN49" s="6">
        <v>1486.5</v>
      </c>
      <c r="AO49" s="6">
        <v>1486.5</v>
      </c>
      <c r="AP49" s="6">
        <v>6838.02</v>
      </c>
      <c r="AQ49" s="6">
        <v>6838.02</v>
      </c>
      <c r="AR49" s="6">
        <v>-167.42549613185335</v>
      </c>
      <c r="AS49" s="6">
        <v>-167.4584594685503</v>
      </c>
      <c r="AT49" s="6">
        <v>-11.599555864726042</v>
      </c>
      <c r="AU49" s="6">
        <v>-11.606110873287683</v>
      </c>
      <c r="AV49" s="6">
        <v>-2488.7800000000002</v>
      </c>
      <c r="AW49" s="6">
        <v>-2489.27</v>
      </c>
      <c r="AX49" s="6">
        <v>-867.09000000000106</v>
      </c>
      <c r="AY49" s="6">
        <v>-867.58000000000084</v>
      </c>
      <c r="AZ49" s="6">
        <v>0</v>
      </c>
      <c r="BA49" s="6">
        <v>0</v>
      </c>
      <c r="BB49" s="6">
        <v>0</v>
      </c>
      <c r="BC49" s="6">
        <v>637.17999999999995</v>
      </c>
      <c r="BD49" s="4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</row>
    <row r="50" spans="1:61" x14ac:dyDescent="0.3">
      <c r="A50" s="4">
        <v>46</v>
      </c>
      <c r="B50" s="5" t="s">
        <v>59</v>
      </c>
      <c r="C50" s="5" t="s">
        <v>243</v>
      </c>
      <c r="D50" s="5" t="s">
        <v>250</v>
      </c>
      <c r="E50" s="10" t="str">
        <f t="shared" si="0"/>
        <v>375-10000</v>
      </c>
      <c r="F50" s="5" t="s">
        <v>150</v>
      </c>
      <c r="G50" s="5" t="s">
        <v>151</v>
      </c>
      <c r="H50" s="5" t="s">
        <v>62</v>
      </c>
      <c r="I50" s="6">
        <v>0</v>
      </c>
      <c r="J50" s="6">
        <v>0</v>
      </c>
      <c r="K50" s="4" t="b">
        <v>0</v>
      </c>
      <c r="L50" s="4" t="b">
        <v>0</v>
      </c>
      <c r="M50" s="6">
        <v>0</v>
      </c>
      <c r="N50" s="6">
        <v>0</v>
      </c>
      <c r="O50" s="4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14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4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</row>
    <row r="51" spans="1:61" x14ac:dyDescent="0.3">
      <c r="A51" s="4">
        <v>47</v>
      </c>
      <c r="B51" s="5" t="s">
        <v>59</v>
      </c>
      <c r="C51" s="5" t="s">
        <v>243</v>
      </c>
      <c r="D51" s="5" t="s">
        <v>250</v>
      </c>
      <c r="E51" s="10" t="str">
        <f t="shared" si="0"/>
        <v>375-10001</v>
      </c>
      <c r="F51" s="5" t="s">
        <v>152</v>
      </c>
      <c r="G51" s="5" t="s">
        <v>153</v>
      </c>
      <c r="H51" s="5" t="s">
        <v>62</v>
      </c>
      <c r="I51" s="6">
        <v>0</v>
      </c>
      <c r="J51" s="6">
        <v>0</v>
      </c>
      <c r="K51" s="4" t="b">
        <v>0</v>
      </c>
      <c r="L51" s="4" t="b">
        <v>0</v>
      </c>
      <c r="M51" s="6">
        <v>0</v>
      </c>
      <c r="N51" s="6">
        <v>0</v>
      </c>
      <c r="O51" s="4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14</v>
      </c>
      <c r="X51" s="6">
        <v>4068.28</v>
      </c>
      <c r="Y51" s="6">
        <v>4068.28</v>
      </c>
      <c r="Z51" s="6">
        <v>202719.64</v>
      </c>
      <c r="AA51" s="6">
        <v>202719.64</v>
      </c>
      <c r="AB51" s="6">
        <v>4068.28</v>
      </c>
      <c r="AC51" s="6">
        <v>4068.28</v>
      </c>
      <c r="AD51" s="6">
        <v>179531.91</v>
      </c>
      <c r="AE51" s="6">
        <v>179531.91</v>
      </c>
      <c r="AF51" s="6">
        <v>0</v>
      </c>
      <c r="AG51" s="6">
        <v>0</v>
      </c>
      <c r="AH51" s="6">
        <v>23187.73</v>
      </c>
      <c r="AI51" s="6">
        <v>23187.73</v>
      </c>
      <c r="AJ51" s="6">
        <v>0</v>
      </c>
      <c r="AK51" s="6">
        <v>0</v>
      </c>
      <c r="AL51" s="6">
        <v>180446.17</v>
      </c>
      <c r="AM51" s="6">
        <v>180446.17</v>
      </c>
      <c r="AN51" s="6">
        <v>0</v>
      </c>
      <c r="AO51" s="6">
        <v>0</v>
      </c>
      <c r="AP51" s="6">
        <v>180446.17</v>
      </c>
      <c r="AQ51" s="6">
        <v>180446.17</v>
      </c>
      <c r="AR51" s="6">
        <v>0</v>
      </c>
      <c r="AS51" s="6">
        <v>0</v>
      </c>
      <c r="AT51" s="6">
        <v>-12.34355375899638</v>
      </c>
      <c r="AU51" s="6">
        <v>-12.34355375899638</v>
      </c>
      <c r="AV51" s="6">
        <v>-4068.28</v>
      </c>
      <c r="AW51" s="6">
        <v>-4068.28</v>
      </c>
      <c r="AX51" s="6">
        <v>-22273.47</v>
      </c>
      <c r="AY51" s="6">
        <v>-22273.47</v>
      </c>
      <c r="AZ51" s="6">
        <v>0</v>
      </c>
      <c r="BA51" s="6">
        <v>0</v>
      </c>
      <c r="BB51" s="6">
        <v>0</v>
      </c>
      <c r="BC51" s="6">
        <v>0</v>
      </c>
      <c r="BD51" s="4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</row>
    <row r="52" spans="1:61" x14ac:dyDescent="0.3">
      <c r="A52" s="4">
        <v>48</v>
      </c>
      <c r="B52" s="5" t="s">
        <v>59</v>
      </c>
      <c r="C52" s="5" t="s">
        <v>243</v>
      </c>
      <c r="D52" s="5" t="s">
        <v>250</v>
      </c>
      <c r="E52" s="10" t="str">
        <f t="shared" si="0"/>
        <v>375-10002</v>
      </c>
      <c r="F52" s="5" t="s">
        <v>154</v>
      </c>
      <c r="G52" s="5" t="s">
        <v>155</v>
      </c>
      <c r="H52" s="5" t="s">
        <v>82</v>
      </c>
      <c r="I52" s="6">
        <v>0</v>
      </c>
      <c r="J52" s="6">
        <v>0</v>
      </c>
      <c r="K52" s="4" t="b">
        <v>0</v>
      </c>
      <c r="L52" s="4" t="b">
        <v>0</v>
      </c>
      <c r="M52" s="6">
        <v>0</v>
      </c>
      <c r="N52" s="6">
        <v>0</v>
      </c>
      <c r="O52" s="4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14</v>
      </c>
      <c r="X52" s="6">
        <v>1441.4</v>
      </c>
      <c r="Y52" s="6">
        <v>1441.4</v>
      </c>
      <c r="Z52" s="6">
        <v>65257.53</v>
      </c>
      <c r="AA52" s="6">
        <v>65257.53</v>
      </c>
      <c r="AB52" s="6">
        <v>1441.4</v>
      </c>
      <c r="AC52" s="6">
        <v>1441.4</v>
      </c>
      <c r="AD52" s="6">
        <v>65257.53</v>
      </c>
      <c r="AE52" s="6">
        <v>65257.53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-1441.4</v>
      </c>
      <c r="AW52" s="6">
        <v>-1441.4</v>
      </c>
      <c r="AX52" s="6">
        <v>-65257.53</v>
      </c>
      <c r="AY52" s="6">
        <v>-65257.53</v>
      </c>
      <c r="AZ52" s="6">
        <v>0</v>
      </c>
      <c r="BA52" s="6">
        <v>0</v>
      </c>
      <c r="BB52" s="6">
        <v>0</v>
      </c>
      <c r="BC52" s="6">
        <v>0</v>
      </c>
      <c r="BD52" s="4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</row>
    <row r="53" spans="1:61" x14ac:dyDescent="0.3">
      <c r="A53" s="4">
        <v>49</v>
      </c>
      <c r="B53" s="5" t="s">
        <v>59</v>
      </c>
      <c r="C53" s="5" t="s">
        <v>243</v>
      </c>
      <c r="D53" s="5" t="s">
        <v>250</v>
      </c>
      <c r="E53" s="10" t="str">
        <f t="shared" si="0"/>
        <v>375-10003</v>
      </c>
      <c r="F53" s="5" t="s">
        <v>156</v>
      </c>
      <c r="G53" s="5" t="s">
        <v>157</v>
      </c>
      <c r="H53" s="5" t="s">
        <v>62</v>
      </c>
      <c r="I53" s="6">
        <v>0</v>
      </c>
      <c r="J53" s="6">
        <v>0</v>
      </c>
      <c r="K53" s="4" t="b">
        <v>0</v>
      </c>
      <c r="L53" s="4" t="b">
        <v>0</v>
      </c>
      <c r="M53" s="6">
        <v>0</v>
      </c>
      <c r="N53" s="6">
        <v>0</v>
      </c>
      <c r="O53" s="4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14</v>
      </c>
      <c r="X53" s="6">
        <v>9877.86</v>
      </c>
      <c r="Y53" s="6">
        <v>9877.86</v>
      </c>
      <c r="Z53" s="6">
        <v>26955.17</v>
      </c>
      <c r="AA53" s="6">
        <v>26955.17</v>
      </c>
      <c r="AB53" s="6">
        <v>9877.86</v>
      </c>
      <c r="AC53" s="6">
        <v>9877.86</v>
      </c>
      <c r="AD53" s="6">
        <v>26955.17</v>
      </c>
      <c r="AE53" s="6">
        <v>26955.17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-9877.86</v>
      </c>
      <c r="AW53" s="6">
        <v>-9877.86</v>
      </c>
      <c r="AX53" s="6">
        <v>-26955.17</v>
      </c>
      <c r="AY53" s="6">
        <v>-26955.17</v>
      </c>
      <c r="AZ53" s="6">
        <v>0</v>
      </c>
      <c r="BA53" s="6">
        <v>0</v>
      </c>
      <c r="BB53" s="6">
        <v>0</v>
      </c>
      <c r="BC53" s="6">
        <v>0</v>
      </c>
      <c r="BD53" s="4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</row>
    <row r="54" spans="1:61" x14ac:dyDescent="0.3">
      <c r="A54" s="4">
        <v>50</v>
      </c>
      <c r="B54" s="5" t="s">
        <v>59</v>
      </c>
      <c r="C54" s="5" t="s">
        <v>243</v>
      </c>
      <c r="D54" s="5" t="s">
        <v>250</v>
      </c>
      <c r="E54" s="10" t="str">
        <f t="shared" si="0"/>
        <v>375-10004</v>
      </c>
      <c r="F54" s="5" t="s">
        <v>158</v>
      </c>
      <c r="G54" s="5" t="s">
        <v>159</v>
      </c>
      <c r="H54" s="5" t="s">
        <v>62</v>
      </c>
      <c r="I54" s="6">
        <v>0</v>
      </c>
      <c r="J54" s="6">
        <v>0</v>
      </c>
      <c r="K54" s="4" t="b">
        <v>0</v>
      </c>
      <c r="L54" s="4" t="b">
        <v>0</v>
      </c>
      <c r="M54" s="6">
        <v>0</v>
      </c>
      <c r="N54" s="6">
        <v>0</v>
      </c>
      <c r="O54" s="4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14</v>
      </c>
      <c r="X54" s="6">
        <v>18858.150000000001</v>
      </c>
      <c r="Y54" s="6">
        <v>18858.150000000001</v>
      </c>
      <c r="Z54" s="6">
        <v>25068.400000000001</v>
      </c>
      <c r="AA54" s="6">
        <v>25068.400000000001</v>
      </c>
      <c r="AB54" s="6">
        <v>18196.419999999998</v>
      </c>
      <c r="AC54" s="6">
        <v>18196.419999999998</v>
      </c>
      <c r="AD54" s="6">
        <v>24353.24</v>
      </c>
      <c r="AE54" s="6">
        <v>24353.24</v>
      </c>
      <c r="AF54" s="6">
        <v>661.73</v>
      </c>
      <c r="AG54" s="6">
        <v>661.73</v>
      </c>
      <c r="AH54" s="6">
        <v>715.16</v>
      </c>
      <c r="AI54" s="6">
        <v>715.16</v>
      </c>
      <c r="AJ54" s="6">
        <v>4333.5200000000004</v>
      </c>
      <c r="AK54" s="6">
        <v>4333.5200000000004</v>
      </c>
      <c r="AL54" s="6">
        <v>4707.9399999999996</v>
      </c>
      <c r="AM54" s="6">
        <v>4707.9399999999996</v>
      </c>
      <c r="AN54" s="6">
        <v>3406.15</v>
      </c>
      <c r="AO54" s="6">
        <v>3406.15</v>
      </c>
      <c r="AP54" s="6">
        <v>4707.9399999999996</v>
      </c>
      <c r="AQ54" s="6">
        <v>4707.9399999999996</v>
      </c>
      <c r="AR54" s="6">
        <v>-335.16933116727279</v>
      </c>
      <c r="AS54" s="6">
        <v>-335.16933116727279</v>
      </c>
      <c r="AT54" s="6">
        <v>-432.47067719639591</v>
      </c>
      <c r="AU54" s="6">
        <v>-432.47067719639591</v>
      </c>
      <c r="AV54" s="6">
        <v>-14524.630000000001</v>
      </c>
      <c r="AW54" s="6">
        <v>-14524.630000000001</v>
      </c>
      <c r="AX54" s="6">
        <v>-20360.460000000003</v>
      </c>
      <c r="AY54" s="6">
        <v>-20360.460000000003</v>
      </c>
      <c r="AZ54" s="6">
        <v>0</v>
      </c>
      <c r="BA54" s="6">
        <v>927.37</v>
      </c>
      <c r="BB54" s="6">
        <v>927.37</v>
      </c>
      <c r="BC54" s="6">
        <v>0</v>
      </c>
      <c r="BD54" s="4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</row>
    <row r="55" spans="1:61" x14ac:dyDescent="0.3">
      <c r="A55" s="4">
        <v>51</v>
      </c>
      <c r="B55" s="5" t="s">
        <v>59</v>
      </c>
      <c r="C55" s="5" t="s">
        <v>243</v>
      </c>
      <c r="D55" s="5" t="s">
        <v>250</v>
      </c>
      <c r="E55" s="10" t="str">
        <f t="shared" si="0"/>
        <v>375-10005</v>
      </c>
      <c r="F55" s="5" t="s">
        <v>160</v>
      </c>
      <c r="G55" s="5" t="s">
        <v>161</v>
      </c>
      <c r="H55" s="5" t="s">
        <v>62</v>
      </c>
      <c r="I55" s="6">
        <v>0</v>
      </c>
      <c r="J55" s="6">
        <v>0</v>
      </c>
      <c r="K55" s="4" t="b">
        <v>0</v>
      </c>
      <c r="L55" s="4" t="b">
        <v>0</v>
      </c>
      <c r="M55" s="6">
        <v>0</v>
      </c>
      <c r="N55" s="6">
        <v>0</v>
      </c>
      <c r="O55" s="4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14</v>
      </c>
      <c r="X55" s="6">
        <v>4970.3500000000004</v>
      </c>
      <c r="Y55" s="6">
        <v>4970.3500000000004</v>
      </c>
      <c r="Z55" s="6">
        <v>19385.57</v>
      </c>
      <c r="AA55" s="6">
        <v>19385.57</v>
      </c>
      <c r="AB55" s="6">
        <v>4970.3500000000004</v>
      </c>
      <c r="AC55" s="6">
        <v>4970.3500000000004</v>
      </c>
      <c r="AD55" s="6">
        <v>19385.57</v>
      </c>
      <c r="AE55" s="6">
        <v>19385.57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-4970.3500000000004</v>
      </c>
      <c r="AW55" s="6">
        <v>-4970.3500000000004</v>
      </c>
      <c r="AX55" s="6">
        <v>-19385.57</v>
      </c>
      <c r="AY55" s="6">
        <v>-19385.57</v>
      </c>
      <c r="AZ55" s="6">
        <v>0</v>
      </c>
      <c r="BA55" s="6">
        <v>0</v>
      </c>
      <c r="BB55" s="6">
        <v>0</v>
      </c>
      <c r="BC55" s="6">
        <v>0</v>
      </c>
      <c r="BD55" s="4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</row>
    <row r="56" spans="1:61" x14ac:dyDescent="0.3">
      <c r="A56" s="4">
        <v>52</v>
      </c>
      <c r="B56" s="5" t="s">
        <v>59</v>
      </c>
      <c r="C56" s="5" t="s">
        <v>243</v>
      </c>
      <c r="D56" s="5" t="s">
        <v>250</v>
      </c>
      <c r="E56" s="10" t="str">
        <f t="shared" si="0"/>
        <v>375-10006</v>
      </c>
      <c r="F56" s="5" t="s">
        <v>162</v>
      </c>
      <c r="G56" s="5" t="s">
        <v>163</v>
      </c>
      <c r="H56" s="5" t="s">
        <v>62</v>
      </c>
      <c r="I56" s="6">
        <v>0</v>
      </c>
      <c r="J56" s="6">
        <v>0</v>
      </c>
      <c r="K56" s="4" t="b">
        <v>0</v>
      </c>
      <c r="L56" s="4" t="b">
        <v>0</v>
      </c>
      <c r="M56" s="6">
        <v>0</v>
      </c>
      <c r="N56" s="6">
        <v>73.53</v>
      </c>
      <c r="O56" s="4">
        <v>0</v>
      </c>
      <c r="P56" s="6">
        <v>73.53</v>
      </c>
      <c r="Q56" s="6">
        <v>0</v>
      </c>
      <c r="R56" s="6">
        <v>-73.53</v>
      </c>
      <c r="S56" s="6">
        <v>0</v>
      </c>
      <c r="T56" s="6">
        <v>0</v>
      </c>
      <c r="U56" s="6">
        <v>73.53</v>
      </c>
      <c r="V56" s="6">
        <v>0</v>
      </c>
      <c r="W56" s="6">
        <v>14</v>
      </c>
      <c r="X56" s="6">
        <v>259.45</v>
      </c>
      <c r="Y56" s="6">
        <v>332.98</v>
      </c>
      <c r="Z56" s="6">
        <v>34042.449999999997</v>
      </c>
      <c r="AA56" s="6">
        <v>34115.979999999996</v>
      </c>
      <c r="AB56" s="6">
        <v>259.45</v>
      </c>
      <c r="AC56" s="6">
        <v>332.98</v>
      </c>
      <c r="AD56" s="6">
        <v>34042.449999999997</v>
      </c>
      <c r="AE56" s="6">
        <v>34115.979999999996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-259.45</v>
      </c>
      <c r="AW56" s="6">
        <v>-332.98</v>
      </c>
      <c r="AX56" s="6">
        <v>-34042.449999999997</v>
      </c>
      <c r="AY56" s="6">
        <v>-34115.979999999996</v>
      </c>
      <c r="AZ56" s="6">
        <v>0</v>
      </c>
      <c r="BA56" s="6">
        <v>0</v>
      </c>
      <c r="BB56" s="6">
        <v>0</v>
      </c>
      <c r="BC56" s="6">
        <v>0</v>
      </c>
      <c r="BD56" s="4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</row>
    <row r="57" spans="1:61" x14ac:dyDescent="0.3">
      <c r="A57" s="4">
        <v>53</v>
      </c>
      <c r="B57" s="5" t="s">
        <v>59</v>
      </c>
      <c r="C57" s="5" t="s">
        <v>243</v>
      </c>
      <c r="D57" s="5" t="s">
        <v>250</v>
      </c>
      <c r="E57" s="10" t="str">
        <f t="shared" si="0"/>
        <v>375-10007</v>
      </c>
      <c r="F57" s="5" t="s">
        <v>164</v>
      </c>
      <c r="G57" s="5" t="s">
        <v>165</v>
      </c>
      <c r="H57" s="5" t="s">
        <v>62</v>
      </c>
      <c r="I57" s="6">
        <v>0</v>
      </c>
      <c r="J57" s="6">
        <v>0</v>
      </c>
      <c r="K57" s="4" t="b">
        <v>0</v>
      </c>
      <c r="L57" s="4" t="b">
        <v>0</v>
      </c>
      <c r="M57" s="6">
        <v>0</v>
      </c>
      <c r="N57" s="6">
        <v>3851.54</v>
      </c>
      <c r="O57" s="4">
        <v>0</v>
      </c>
      <c r="P57" s="6">
        <v>3851.54</v>
      </c>
      <c r="Q57" s="6">
        <v>0</v>
      </c>
      <c r="R57" s="6">
        <v>-3851.54</v>
      </c>
      <c r="S57" s="6">
        <v>0</v>
      </c>
      <c r="T57" s="6">
        <v>0</v>
      </c>
      <c r="U57" s="6">
        <v>3851.54</v>
      </c>
      <c r="V57" s="6">
        <v>0</v>
      </c>
      <c r="W57" s="6">
        <v>14</v>
      </c>
      <c r="X57" s="6">
        <v>9181.83</v>
      </c>
      <c r="Y57" s="6">
        <v>13033.369999999999</v>
      </c>
      <c r="Z57" s="6">
        <v>18374.78</v>
      </c>
      <c r="AA57" s="6">
        <v>22226.32</v>
      </c>
      <c r="AB57" s="6">
        <v>9181.83</v>
      </c>
      <c r="AC57" s="6">
        <v>13033.369999999999</v>
      </c>
      <c r="AD57" s="6">
        <v>18374.78</v>
      </c>
      <c r="AE57" s="6">
        <v>22226.32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-9181.83</v>
      </c>
      <c r="AW57" s="6">
        <v>-13033.369999999999</v>
      </c>
      <c r="AX57" s="6">
        <v>-18374.78</v>
      </c>
      <c r="AY57" s="6">
        <v>-22226.32</v>
      </c>
      <c r="AZ57" s="6">
        <v>0</v>
      </c>
      <c r="BA57" s="6">
        <v>0</v>
      </c>
      <c r="BB57" s="6">
        <v>0</v>
      </c>
      <c r="BC57" s="6">
        <v>0</v>
      </c>
      <c r="BD57" s="4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</row>
    <row r="58" spans="1:61" x14ac:dyDescent="0.3">
      <c r="A58" s="4">
        <v>54</v>
      </c>
      <c r="B58" s="5" t="s">
        <v>59</v>
      </c>
      <c r="C58" s="5" t="s">
        <v>243</v>
      </c>
      <c r="D58" s="5" t="s">
        <v>250</v>
      </c>
      <c r="E58" s="10" t="str">
        <f t="shared" si="0"/>
        <v>375-10100</v>
      </c>
      <c r="F58" s="5" t="s">
        <v>166</v>
      </c>
      <c r="G58" s="5" t="s">
        <v>167</v>
      </c>
      <c r="H58" s="5" t="s">
        <v>62</v>
      </c>
      <c r="I58" s="6">
        <v>0</v>
      </c>
      <c r="J58" s="6">
        <v>0</v>
      </c>
      <c r="K58" s="4" t="b">
        <v>0</v>
      </c>
      <c r="L58" s="4" t="b">
        <v>0</v>
      </c>
      <c r="M58" s="6">
        <v>0</v>
      </c>
      <c r="N58" s="6">
        <v>0</v>
      </c>
      <c r="O58" s="4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14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4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</row>
    <row r="59" spans="1:61" x14ac:dyDescent="0.3">
      <c r="A59" s="4">
        <v>55</v>
      </c>
      <c r="B59" s="5" t="s">
        <v>59</v>
      </c>
      <c r="C59" s="5" t="s">
        <v>243</v>
      </c>
      <c r="D59" s="5" t="s">
        <v>250</v>
      </c>
      <c r="E59" s="10" t="str">
        <f t="shared" si="0"/>
        <v>375-10101</v>
      </c>
      <c r="F59" s="5" t="s">
        <v>162</v>
      </c>
      <c r="G59" s="5" t="s">
        <v>168</v>
      </c>
      <c r="H59" s="5" t="s">
        <v>62</v>
      </c>
      <c r="I59" s="6">
        <v>9696.9599999999991</v>
      </c>
      <c r="J59" s="6">
        <v>49696.959999999999</v>
      </c>
      <c r="K59" s="4" t="b">
        <v>1</v>
      </c>
      <c r="L59" s="4" t="b">
        <v>1</v>
      </c>
      <c r="M59" s="6">
        <v>106892.89</v>
      </c>
      <c r="N59" s="6">
        <v>39812.04</v>
      </c>
      <c r="O59" s="4">
        <v>0</v>
      </c>
      <c r="P59" s="6">
        <v>32223.32</v>
      </c>
      <c r="Q59" s="6">
        <v>7588.72</v>
      </c>
      <c r="R59" s="6">
        <v>9884.9199999999983</v>
      </c>
      <c r="S59" s="6">
        <v>19.89039168593008</v>
      </c>
      <c r="T59" s="6">
        <v>9696.9599999999991</v>
      </c>
      <c r="U59" s="6">
        <v>10143.73</v>
      </c>
      <c r="V59" s="6">
        <v>5456</v>
      </c>
      <c r="W59" s="6">
        <v>14</v>
      </c>
      <c r="X59" s="6">
        <v>112329.41</v>
      </c>
      <c r="Y59" s="6">
        <v>152141.45000000001</v>
      </c>
      <c r="Z59" s="6">
        <v>135573.89000000001</v>
      </c>
      <c r="AA59" s="6">
        <v>175385.93000000002</v>
      </c>
      <c r="AB59" s="6">
        <v>93364.67</v>
      </c>
      <c r="AC59" s="6">
        <v>125587.98999999999</v>
      </c>
      <c r="AD59" s="6">
        <v>105660.44</v>
      </c>
      <c r="AE59" s="6">
        <v>137883.76</v>
      </c>
      <c r="AF59" s="6">
        <v>18964.740000000002</v>
      </c>
      <c r="AG59" s="6">
        <v>26553.460000000003</v>
      </c>
      <c r="AH59" s="6">
        <v>29913.45</v>
      </c>
      <c r="AI59" s="6">
        <v>37502.17</v>
      </c>
      <c r="AJ59" s="6">
        <v>124196.07</v>
      </c>
      <c r="AK59" s="6">
        <v>173893.03</v>
      </c>
      <c r="AL59" s="6">
        <v>200921.41</v>
      </c>
      <c r="AM59" s="6">
        <v>250618.37</v>
      </c>
      <c r="AN59" s="6">
        <v>84311.9</v>
      </c>
      <c r="AO59" s="6">
        <v>94008.859999999986</v>
      </c>
      <c r="AP59" s="6">
        <v>134028.51999999999</v>
      </c>
      <c r="AQ59" s="6">
        <v>143725.47999999998</v>
      </c>
      <c r="AR59" s="6">
        <v>9.5547789877731262</v>
      </c>
      <c r="AS59" s="6">
        <v>12.508597958181525</v>
      </c>
      <c r="AT59" s="6">
        <v>32.523920671271412</v>
      </c>
      <c r="AU59" s="6">
        <v>30.01872528338604</v>
      </c>
      <c r="AV59" s="6">
        <v>11866.660000000003</v>
      </c>
      <c r="AW59" s="6">
        <v>21751.579999999987</v>
      </c>
      <c r="AX59" s="6">
        <v>65347.51999999999</v>
      </c>
      <c r="AY59" s="6">
        <v>75232.439999999973</v>
      </c>
      <c r="AZ59" s="6">
        <v>40000</v>
      </c>
      <c r="BA59" s="6">
        <v>39884.17</v>
      </c>
      <c r="BB59" s="6">
        <v>79884.17</v>
      </c>
      <c r="BC59" s="6">
        <v>66892.89</v>
      </c>
      <c r="BD59" s="4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</row>
    <row r="60" spans="1:61" x14ac:dyDescent="0.3">
      <c r="A60" s="4">
        <v>56</v>
      </c>
      <c r="B60" s="5" t="s">
        <v>59</v>
      </c>
      <c r="C60" s="5" t="s">
        <v>243</v>
      </c>
      <c r="D60" s="5" t="s">
        <v>250</v>
      </c>
      <c r="E60" s="10" t="str">
        <f t="shared" si="0"/>
        <v>375-10102</v>
      </c>
      <c r="F60" s="5" t="s">
        <v>169</v>
      </c>
      <c r="G60" s="5" t="s">
        <v>170</v>
      </c>
      <c r="H60" s="5" t="s">
        <v>62</v>
      </c>
      <c r="I60" s="6">
        <v>4752.45</v>
      </c>
      <c r="J60" s="6">
        <v>4752.45</v>
      </c>
      <c r="K60" s="4" t="b">
        <v>1</v>
      </c>
      <c r="L60" s="4" t="b">
        <v>1</v>
      </c>
      <c r="M60" s="6">
        <v>69201.789999999994</v>
      </c>
      <c r="N60" s="6">
        <v>12789.02</v>
      </c>
      <c r="O60" s="4">
        <v>0</v>
      </c>
      <c r="P60" s="6">
        <v>12063.32</v>
      </c>
      <c r="Q60" s="6">
        <v>725.7</v>
      </c>
      <c r="R60" s="6">
        <v>-8036.5700000000006</v>
      </c>
      <c r="S60" s="6">
        <v>-169.10372544687479</v>
      </c>
      <c r="T60" s="6">
        <v>4752.45</v>
      </c>
      <c r="U60" s="6">
        <v>8350.65</v>
      </c>
      <c r="V60" s="6">
        <v>0</v>
      </c>
      <c r="W60" s="6">
        <v>14</v>
      </c>
      <c r="X60" s="6">
        <v>77127.86</v>
      </c>
      <c r="Y60" s="6">
        <v>89916.88</v>
      </c>
      <c r="Z60" s="6">
        <v>90362.78</v>
      </c>
      <c r="AA60" s="6">
        <v>103151.8</v>
      </c>
      <c r="AB60" s="6">
        <v>58112.44</v>
      </c>
      <c r="AC60" s="6">
        <v>70175.760000000009</v>
      </c>
      <c r="AD60" s="6">
        <v>67710.13</v>
      </c>
      <c r="AE60" s="6">
        <v>79773.450000000012</v>
      </c>
      <c r="AF60" s="6">
        <v>19015.419999999998</v>
      </c>
      <c r="AG60" s="6">
        <v>19741.12</v>
      </c>
      <c r="AH60" s="6">
        <v>22652.65</v>
      </c>
      <c r="AI60" s="6">
        <v>23378.350000000002</v>
      </c>
      <c r="AJ60" s="6">
        <v>124527.98</v>
      </c>
      <c r="AK60" s="6">
        <v>129280.43</v>
      </c>
      <c r="AL60" s="6">
        <v>150016.49</v>
      </c>
      <c r="AM60" s="6">
        <v>154768.94</v>
      </c>
      <c r="AN60" s="6">
        <v>55326.18</v>
      </c>
      <c r="AO60" s="6">
        <v>60078.63</v>
      </c>
      <c r="AP60" s="6">
        <v>80814.7</v>
      </c>
      <c r="AQ60" s="6">
        <v>85567.15</v>
      </c>
      <c r="AR60" s="6">
        <v>38.063831116508915</v>
      </c>
      <c r="AS60" s="6">
        <v>30.448189258033864</v>
      </c>
      <c r="AT60" s="6">
        <v>39.764768526446659</v>
      </c>
      <c r="AU60" s="6">
        <v>33.351097448880893</v>
      </c>
      <c r="AV60" s="6">
        <v>47400.119999999995</v>
      </c>
      <c r="AW60" s="6">
        <v>39363.549999999988</v>
      </c>
      <c r="AX60" s="6">
        <v>59653.709999999992</v>
      </c>
      <c r="AY60" s="6">
        <v>51617.14</v>
      </c>
      <c r="AZ60" s="6">
        <v>0</v>
      </c>
      <c r="BA60" s="6">
        <v>69201.8</v>
      </c>
      <c r="BB60" s="6">
        <v>69201.8</v>
      </c>
      <c r="BC60" s="6">
        <v>69201.789999999994</v>
      </c>
      <c r="BD60" s="4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</row>
    <row r="61" spans="1:61" x14ac:dyDescent="0.3">
      <c r="A61" s="4">
        <v>57</v>
      </c>
      <c r="B61" s="5" t="s">
        <v>59</v>
      </c>
      <c r="C61" s="5" t="s">
        <v>243</v>
      </c>
      <c r="D61" s="5" t="s">
        <v>250</v>
      </c>
      <c r="E61" s="10" t="str">
        <f t="shared" si="0"/>
        <v>375-10103</v>
      </c>
      <c r="F61" s="5" t="s">
        <v>171</v>
      </c>
      <c r="G61" s="5" t="s">
        <v>172</v>
      </c>
      <c r="H61" s="5" t="s">
        <v>62</v>
      </c>
      <c r="I61" s="6">
        <v>0</v>
      </c>
      <c r="J61" s="6">
        <v>0</v>
      </c>
      <c r="K61" s="4" t="b">
        <v>0</v>
      </c>
      <c r="L61" s="4" t="b">
        <v>0</v>
      </c>
      <c r="M61" s="6">
        <v>8884.07</v>
      </c>
      <c r="N61" s="6">
        <v>0</v>
      </c>
      <c r="O61" s="4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14</v>
      </c>
      <c r="X61" s="6">
        <v>2528.08</v>
      </c>
      <c r="Y61" s="6">
        <v>2528.08</v>
      </c>
      <c r="Z61" s="6">
        <v>10253.33</v>
      </c>
      <c r="AA61" s="6">
        <v>10253.33</v>
      </c>
      <c r="AB61" s="6">
        <v>0</v>
      </c>
      <c r="AC61" s="6">
        <v>0</v>
      </c>
      <c r="AD61" s="6">
        <v>0</v>
      </c>
      <c r="AE61" s="6">
        <v>0</v>
      </c>
      <c r="AF61" s="6">
        <v>2528.08</v>
      </c>
      <c r="AG61" s="6">
        <v>2528.08</v>
      </c>
      <c r="AH61" s="6">
        <v>10253.33</v>
      </c>
      <c r="AI61" s="6">
        <v>10253.33</v>
      </c>
      <c r="AJ61" s="6">
        <v>16555.84</v>
      </c>
      <c r="AK61" s="6">
        <v>16555.84</v>
      </c>
      <c r="AL61" s="6">
        <v>70692.149999999994</v>
      </c>
      <c r="AM61" s="6">
        <v>70692.149999999994</v>
      </c>
      <c r="AN61" s="6">
        <v>16555.84</v>
      </c>
      <c r="AO61" s="6">
        <v>16555.84</v>
      </c>
      <c r="AP61" s="6">
        <v>61808.08</v>
      </c>
      <c r="AQ61" s="6">
        <v>61808.08</v>
      </c>
      <c r="AR61" s="6">
        <v>84.729980478187755</v>
      </c>
      <c r="AS61" s="6">
        <v>84.729980478187755</v>
      </c>
      <c r="AT61" s="6">
        <v>85.495801160383436</v>
      </c>
      <c r="AU61" s="6">
        <v>85.495801160383436</v>
      </c>
      <c r="AV61" s="6">
        <v>14027.76</v>
      </c>
      <c r="AW61" s="6">
        <v>14027.76</v>
      </c>
      <c r="AX61" s="6">
        <v>60438.819999999992</v>
      </c>
      <c r="AY61" s="6">
        <v>60438.819999999992</v>
      </c>
      <c r="AZ61" s="6">
        <v>0</v>
      </c>
      <c r="BA61" s="6">
        <v>0</v>
      </c>
      <c r="BB61" s="6">
        <v>0</v>
      </c>
      <c r="BC61" s="6">
        <v>8884.07</v>
      </c>
      <c r="BD61" s="4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</row>
    <row r="62" spans="1:61" x14ac:dyDescent="0.3">
      <c r="A62" s="4">
        <v>58</v>
      </c>
      <c r="B62" s="5" t="s">
        <v>59</v>
      </c>
      <c r="C62" s="5" t="s">
        <v>243</v>
      </c>
      <c r="D62" s="5" t="s">
        <v>250</v>
      </c>
      <c r="E62" s="10" t="str">
        <f t="shared" si="0"/>
        <v>375-10104</v>
      </c>
      <c r="F62" s="5" t="s">
        <v>164</v>
      </c>
      <c r="G62" s="5" t="s">
        <v>173</v>
      </c>
      <c r="H62" s="5" t="s">
        <v>62</v>
      </c>
      <c r="I62" s="6">
        <v>0</v>
      </c>
      <c r="J62" s="6">
        <v>0</v>
      </c>
      <c r="K62" s="4" t="b">
        <v>0</v>
      </c>
      <c r="L62" s="4" t="b">
        <v>0</v>
      </c>
      <c r="M62" s="6">
        <v>0</v>
      </c>
      <c r="N62" s="6">
        <v>0</v>
      </c>
      <c r="O62" s="4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14</v>
      </c>
      <c r="X62" s="6">
        <v>5187.4399999999996</v>
      </c>
      <c r="Y62" s="6">
        <v>5187.4399999999996</v>
      </c>
      <c r="Z62" s="6">
        <v>14914.35</v>
      </c>
      <c r="AA62" s="6">
        <v>14914.35</v>
      </c>
      <c r="AB62" s="6">
        <v>4488</v>
      </c>
      <c r="AC62" s="6">
        <v>4488</v>
      </c>
      <c r="AD62" s="6">
        <v>12913.14</v>
      </c>
      <c r="AE62" s="6">
        <v>12913.14</v>
      </c>
      <c r="AF62" s="6">
        <v>699.44</v>
      </c>
      <c r="AG62" s="6">
        <v>699.44</v>
      </c>
      <c r="AH62" s="6">
        <v>2001.21</v>
      </c>
      <c r="AI62" s="6">
        <v>2001.21</v>
      </c>
      <c r="AJ62" s="6">
        <v>4580.5</v>
      </c>
      <c r="AK62" s="6">
        <v>4580.5</v>
      </c>
      <c r="AL62" s="6">
        <v>13702.86</v>
      </c>
      <c r="AM62" s="6">
        <v>13702.86</v>
      </c>
      <c r="AN62" s="6">
        <v>4580.5</v>
      </c>
      <c r="AO62" s="6">
        <v>4580.5</v>
      </c>
      <c r="AP62" s="6">
        <v>13702.86</v>
      </c>
      <c r="AQ62" s="6">
        <v>13702.86</v>
      </c>
      <c r="AR62" s="6">
        <v>-13.250518502346898</v>
      </c>
      <c r="AS62" s="6">
        <v>-13.250518502346898</v>
      </c>
      <c r="AT62" s="6">
        <v>-8.8411470306198829</v>
      </c>
      <c r="AU62" s="6">
        <v>-8.8411470306198829</v>
      </c>
      <c r="AV62" s="6">
        <v>-606.9399999999996</v>
      </c>
      <c r="AW62" s="6">
        <v>-606.9399999999996</v>
      </c>
      <c r="AX62" s="6">
        <v>-1211.4899999999998</v>
      </c>
      <c r="AY62" s="6">
        <v>-1211.4899999999998</v>
      </c>
      <c r="AZ62" s="6">
        <v>0</v>
      </c>
      <c r="BA62" s="6">
        <v>0</v>
      </c>
      <c r="BB62" s="6">
        <v>0</v>
      </c>
      <c r="BC62" s="6">
        <v>0</v>
      </c>
      <c r="BD62" s="4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</row>
    <row r="63" spans="1:61" x14ac:dyDescent="0.3">
      <c r="A63" s="4">
        <v>59</v>
      </c>
      <c r="B63" s="5" t="s">
        <v>59</v>
      </c>
      <c r="C63" s="5" t="s">
        <v>243</v>
      </c>
      <c r="D63" s="5" t="s">
        <v>250</v>
      </c>
      <c r="E63" s="10" t="str">
        <f t="shared" si="0"/>
        <v>375-10105</v>
      </c>
      <c r="F63" s="5" t="s">
        <v>158</v>
      </c>
      <c r="G63" s="5" t="s">
        <v>174</v>
      </c>
      <c r="H63" s="5" t="s">
        <v>62</v>
      </c>
      <c r="I63" s="6">
        <v>5047.63</v>
      </c>
      <c r="J63" s="6">
        <v>5047.63</v>
      </c>
      <c r="K63" s="4" t="b">
        <v>0</v>
      </c>
      <c r="L63" s="4" t="b">
        <v>1</v>
      </c>
      <c r="M63" s="6">
        <v>46596.7</v>
      </c>
      <c r="N63" s="6">
        <v>8561.1299999999992</v>
      </c>
      <c r="O63" s="4">
        <v>0</v>
      </c>
      <c r="P63" s="6">
        <v>7790.36</v>
      </c>
      <c r="Q63" s="6">
        <v>770.77</v>
      </c>
      <c r="R63" s="6">
        <v>-3513.4999999999991</v>
      </c>
      <c r="S63" s="6">
        <v>-69.606924437805446</v>
      </c>
      <c r="T63" s="6">
        <v>5047.63</v>
      </c>
      <c r="U63" s="6">
        <v>6435.32</v>
      </c>
      <c r="V63" s="6">
        <v>0</v>
      </c>
      <c r="W63" s="6">
        <v>14</v>
      </c>
      <c r="X63" s="6">
        <v>30999.49</v>
      </c>
      <c r="Y63" s="6">
        <v>39560.620000000003</v>
      </c>
      <c r="Z63" s="6">
        <v>74822.929999999993</v>
      </c>
      <c r="AA63" s="6">
        <v>83384.06</v>
      </c>
      <c r="AB63" s="6">
        <v>22524.38</v>
      </c>
      <c r="AC63" s="6">
        <v>30314.74</v>
      </c>
      <c r="AD63" s="6">
        <v>60152.87</v>
      </c>
      <c r="AE63" s="6">
        <v>67943.23</v>
      </c>
      <c r="AF63" s="6">
        <v>8475.11</v>
      </c>
      <c r="AG63" s="6">
        <v>9245.880000000001</v>
      </c>
      <c r="AH63" s="6">
        <v>14670.06</v>
      </c>
      <c r="AI63" s="6">
        <v>15440.83</v>
      </c>
      <c r="AJ63" s="6">
        <v>55501.68</v>
      </c>
      <c r="AK63" s="6">
        <v>60549.31</v>
      </c>
      <c r="AL63" s="6">
        <v>98914.1</v>
      </c>
      <c r="AM63" s="6">
        <v>103961.73000000001</v>
      </c>
      <c r="AN63" s="6">
        <v>32581.63</v>
      </c>
      <c r="AO63" s="6">
        <v>37629.26</v>
      </c>
      <c r="AP63" s="6">
        <v>52317.4</v>
      </c>
      <c r="AQ63" s="6">
        <v>57365.03</v>
      </c>
      <c r="AR63" s="6">
        <v>44.14675375592234</v>
      </c>
      <c r="AS63" s="6">
        <v>34.663797159703378</v>
      </c>
      <c r="AT63" s="6">
        <v>24.355647981430366</v>
      </c>
      <c r="AU63" s="6">
        <v>19.793504782961971</v>
      </c>
      <c r="AV63" s="6">
        <v>24502.19</v>
      </c>
      <c r="AW63" s="6">
        <v>20988.689999999995</v>
      </c>
      <c r="AX63" s="6">
        <v>24091.170000000013</v>
      </c>
      <c r="AY63" s="6">
        <v>20577.670000000013</v>
      </c>
      <c r="AZ63" s="6">
        <v>0</v>
      </c>
      <c r="BA63" s="6">
        <v>22920.05</v>
      </c>
      <c r="BB63" s="6">
        <v>22920.05</v>
      </c>
      <c r="BC63" s="6">
        <v>46596.7</v>
      </c>
      <c r="BD63" s="4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</row>
    <row r="64" spans="1:61" x14ac:dyDescent="0.3">
      <c r="A64" s="4">
        <v>60</v>
      </c>
      <c r="B64" s="5" t="s">
        <v>59</v>
      </c>
      <c r="C64" s="5" t="s">
        <v>243</v>
      </c>
      <c r="D64" s="5" t="s">
        <v>250</v>
      </c>
      <c r="E64" s="10" t="str">
        <f t="shared" si="0"/>
        <v>375-10106</v>
      </c>
      <c r="F64" s="5" t="s">
        <v>156</v>
      </c>
      <c r="G64" s="5" t="s">
        <v>175</v>
      </c>
      <c r="H64" s="5" t="s">
        <v>62</v>
      </c>
      <c r="I64" s="6">
        <v>5093.9799999999996</v>
      </c>
      <c r="J64" s="6">
        <v>5093.9799999999996</v>
      </c>
      <c r="K64" s="4" t="b">
        <v>0</v>
      </c>
      <c r="L64" s="4" t="b">
        <v>1</v>
      </c>
      <c r="M64" s="6">
        <v>46506.37</v>
      </c>
      <c r="N64" s="6">
        <v>5267.27</v>
      </c>
      <c r="O64" s="4">
        <v>0</v>
      </c>
      <c r="P64" s="6">
        <v>4489.42</v>
      </c>
      <c r="Q64" s="6">
        <v>777.85</v>
      </c>
      <c r="R64" s="6">
        <v>-173.29000000000087</v>
      </c>
      <c r="S64" s="6">
        <v>-3.4018586645412996</v>
      </c>
      <c r="T64" s="6">
        <v>5093.9799999999996</v>
      </c>
      <c r="U64" s="6">
        <v>4846.12</v>
      </c>
      <c r="V64" s="6">
        <v>20000</v>
      </c>
      <c r="W64" s="6">
        <v>14</v>
      </c>
      <c r="X64" s="6">
        <v>44045</v>
      </c>
      <c r="Y64" s="6">
        <v>49312.270000000004</v>
      </c>
      <c r="Z64" s="6">
        <v>83185.73</v>
      </c>
      <c r="AA64" s="6">
        <v>88453</v>
      </c>
      <c r="AB64" s="6">
        <v>35610.33</v>
      </c>
      <c r="AC64" s="6">
        <v>40099.75</v>
      </c>
      <c r="AD64" s="6">
        <v>68688.2</v>
      </c>
      <c r="AE64" s="6">
        <v>73177.62</v>
      </c>
      <c r="AF64" s="6">
        <v>8434.67</v>
      </c>
      <c r="AG64" s="6">
        <v>9212.52</v>
      </c>
      <c r="AH64" s="6">
        <v>14497.53</v>
      </c>
      <c r="AI64" s="6">
        <v>15275.380000000001</v>
      </c>
      <c r="AJ64" s="6">
        <v>55236.87</v>
      </c>
      <c r="AK64" s="6">
        <v>60330.850000000006</v>
      </c>
      <c r="AL64" s="6">
        <v>97723.63</v>
      </c>
      <c r="AM64" s="6">
        <v>102817.61</v>
      </c>
      <c r="AN64" s="6">
        <v>25266.57</v>
      </c>
      <c r="AO64" s="6">
        <v>30360.55</v>
      </c>
      <c r="AP64" s="6">
        <v>51217.26</v>
      </c>
      <c r="AQ64" s="6">
        <v>56311.240000000005</v>
      </c>
      <c r="AR64" s="6">
        <v>20.261593388618873</v>
      </c>
      <c r="AS64" s="6">
        <v>18.263591512468334</v>
      </c>
      <c r="AT64" s="6">
        <v>14.876545212248061</v>
      </c>
      <c r="AU64" s="6">
        <v>13.970962756282704</v>
      </c>
      <c r="AV64" s="6">
        <v>11191.870000000003</v>
      </c>
      <c r="AW64" s="6">
        <v>11018.580000000002</v>
      </c>
      <c r="AX64" s="6">
        <v>14537.900000000009</v>
      </c>
      <c r="AY64" s="6">
        <v>14364.61</v>
      </c>
      <c r="AZ64" s="6">
        <v>0</v>
      </c>
      <c r="BA64" s="6">
        <v>29970.3</v>
      </c>
      <c r="BB64" s="6">
        <v>29970.3</v>
      </c>
      <c r="BC64" s="6">
        <v>46506.37</v>
      </c>
      <c r="BD64" s="4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</row>
    <row r="65" spans="1:61" x14ac:dyDescent="0.3">
      <c r="A65" s="4">
        <v>61</v>
      </c>
      <c r="B65" s="5" t="s">
        <v>59</v>
      </c>
      <c r="C65" s="5" t="s">
        <v>246</v>
      </c>
      <c r="D65" s="5" t="s">
        <v>247</v>
      </c>
      <c r="E65" s="10" t="str">
        <f t="shared" si="0"/>
        <v>375-10107</v>
      </c>
      <c r="F65" s="5" t="s">
        <v>135</v>
      </c>
      <c r="G65" s="5" t="s">
        <v>176</v>
      </c>
      <c r="H65" s="5" t="s">
        <v>62</v>
      </c>
      <c r="I65" s="6">
        <v>0</v>
      </c>
      <c r="J65" s="6">
        <v>0</v>
      </c>
      <c r="K65" s="4" t="b">
        <v>0</v>
      </c>
      <c r="L65" s="4" t="b">
        <v>0</v>
      </c>
      <c r="M65" s="6">
        <v>0</v>
      </c>
      <c r="N65" s="6">
        <v>0</v>
      </c>
      <c r="O65" s="4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14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4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</row>
    <row r="66" spans="1:61" x14ac:dyDescent="0.3">
      <c r="A66" s="4">
        <v>62</v>
      </c>
      <c r="B66" s="5" t="s">
        <v>59</v>
      </c>
      <c r="C66" s="5" t="s">
        <v>246</v>
      </c>
      <c r="D66" s="5" t="s">
        <v>248</v>
      </c>
      <c r="E66" s="10" t="str">
        <f t="shared" si="0"/>
        <v>375-10300</v>
      </c>
      <c r="F66" s="5" t="s">
        <v>177</v>
      </c>
      <c r="G66" s="5" t="s">
        <v>178</v>
      </c>
      <c r="H66" s="5" t="s">
        <v>82</v>
      </c>
      <c r="I66" s="6">
        <v>0</v>
      </c>
      <c r="J66" s="6">
        <v>0</v>
      </c>
      <c r="K66" s="4" t="b">
        <v>0</v>
      </c>
      <c r="L66" s="4" t="b">
        <v>0</v>
      </c>
      <c r="M66" s="6">
        <v>0</v>
      </c>
      <c r="N66" s="6">
        <v>0</v>
      </c>
      <c r="O66" s="4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14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4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</row>
    <row r="67" spans="1:61" x14ac:dyDescent="0.3">
      <c r="A67" s="4">
        <v>63</v>
      </c>
      <c r="B67" s="5" t="s">
        <v>59</v>
      </c>
      <c r="C67" s="5" t="s">
        <v>246</v>
      </c>
      <c r="D67" s="5" t="s">
        <v>248</v>
      </c>
      <c r="E67" s="10" t="str">
        <f t="shared" si="0"/>
        <v>375-10301</v>
      </c>
      <c r="F67" s="5" t="s">
        <v>179</v>
      </c>
      <c r="G67" s="5" t="s">
        <v>180</v>
      </c>
      <c r="H67" s="5" t="s">
        <v>82</v>
      </c>
      <c r="I67" s="6">
        <v>0</v>
      </c>
      <c r="J67" s="6">
        <v>0</v>
      </c>
      <c r="K67" s="4" t="b">
        <v>0</v>
      </c>
      <c r="L67" s="4" t="b">
        <v>0</v>
      </c>
      <c r="M67" s="6">
        <v>0</v>
      </c>
      <c r="N67" s="6">
        <v>0</v>
      </c>
      <c r="O67" s="4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14</v>
      </c>
      <c r="X67" s="6">
        <v>430.13</v>
      </c>
      <c r="Y67" s="6">
        <v>430.13</v>
      </c>
      <c r="Z67" s="6">
        <v>52751.48</v>
      </c>
      <c r="AA67" s="6">
        <v>52751.48</v>
      </c>
      <c r="AB67" s="6">
        <v>430.13</v>
      </c>
      <c r="AC67" s="6">
        <v>430.13</v>
      </c>
      <c r="AD67" s="6">
        <v>46770.63</v>
      </c>
      <c r="AE67" s="6">
        <v>46770.63</v>
      </c>
      <c r="AF67" s="6">
        <v>0</v>
      </c>
      <c r="AG67" s="6">
        <v>0</v>
      </c>
      <c r="AH67" s="6">
        <v>5980.85</v>
      </c>
      <c r="AI67" s="6">
        <v>5980.85</v>
      </c>
      <c r="AJ67" s="6">
        <v>0</v>
      </c>
      <c r="AK67" s="6">
        <v>0</v>
      </c>
      <c r="AL67" s="6">
        <v>48376.46</v>
      </c>
      <c r="AM67" s="6">
        <v>48376.46</v>
      </c>
      <c r="AN67" s="6">
        <v>0</v>
      </c>
      <c r="AO67" s="6">
        <v>0</v>
      </c>
      <c r="AP67" s="6">
        <v>48376.46</v>
      </c>
      <c r="AQ67" s="6">
        <v>48376.46</v>
      </c>
      <c r="AR67" s="6">
        <v>0</v>
      </c>
      <c r="AS67" s="6">
        <v>0</v>
      </c>
      <c r="AT67" s="6">
        <v>-9.0436960455560502</v>
      </c>
      <c r="AU67" s="6">
        <v>-9.0436960455560502</v>
      </c>
      <c r="AV67" s="6">
        <v>-430.13</v>
      </c>
      <c r="AW67" s="6">
        <v>-430.13</v>
      </c>
      <c r="AX67" s="6">
        <v>-4375.0200000000041</v>
      </c>
      <c r="AY67" s="6">
        <v>-4375.0200000000041</v>
      </c>
      <c r="AZ67" s="6">
        <v>0</v>
      </c>
      <c r="BA67" s="6">
        <v>0</v>
      </c>
      <c r="BB67" s="6">
        <v>0</v>
      </c>
      <c r="BC67" s="6">
        <v>0</v>
      </c>
      <c r="BD67" s="4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</row>
    <row r="68" spans="1:61" x14ac:dyDescent="0.3">
      <c r="A68" s="4">
        <v>64</v>
      </c>
      <c r="B68" s="5" t="s">
        <v>59</v>
      </c>
      <c r="C68" s="5" t="s">
        <v>246</v>
      </c>
      <c r="D68" s="5" t="s">
        <v>247</v>
      </c>
      <c r="E68" s="10" t="str">
        <f t="shared" si="0"/>
        <v>375-10302</v>
      </c>
      <c r="F68" s="5" t="s">
        <v>181</v>
      </c>
      <c r="G68" s="5" t="s">
        <v>182</v>
      </c>
      <c r="H68" s="5" t="s">
        <v>82</v>
      </c>
      <c r="I68" s="6">
        <v>36480</v>
      </c>
      <c r="J68" s="6">
        <v>32989.49</v>
      </c>
      <c r="K68" s="4" t="b">
        <v>1</v>
      </c>
      <c r="L68" s="4" t="b">
        <v>1</v>
      </c>
      <c r="M68" s="6">
        <v>0</v>
      </c>
      <c r="N68" s="6">
        <v>13396.21</v>
      </c>
      <c r="O68" s="4">
        <v>0</v>
      </c>
      <c r="P68" s="6">
        <v>8358.7099999999991</v>
      </c>
      <c r="Q68" s="6">
        <v>5037.5</v>
      </c>
      <c r="R68" s="6">
        <v>19593.28</v>
      </c>
      <c r="S68" s="6">
        <v>59.39249136618966</v>
      </c>
      <c r="T68" s="6">
        <v>36480</v>
      </c>
      <c r="U68" s="6">
        <v>16007.59</v>
      </c>
      <c r="V68" s="6">
        <v>0</v>
      </c>
      <c r="W68" s="6">
        <v>14</v>
      </c>
      <c r="X68" s="6">
        <v>8038.24</v>
      </c>
      <c r="Y68" s="6">
        <v>21434.449999999997</v>
      </c>
      <c r="Z68" s="6">
        <v>142759.42000000001</v>
      </c>
      <c r="AA68" s="6">
        <v>156155.63</v>
      </c>
      <c r="AB68" s="6">
        <v>7241.15</v>
      </c>
      <c r="AC68" s="6">
        <v>15599.859999999999</v>
      </c>
      <c r="AD68" s="6">
        <v>117066.75</v>
      </c>
      <c r="AE68" s="6">
        <v>125425.45999999999</v>
      </c>
      <c r="AF68" s="6">
        <v>797.09</v>
      </c>
      <c r="AG68" s="6">
        <v>5834.59</v>
      </c>
      <c r="AH68" s="6">
        <v>25692.67</v>
      </c>
      <c r="AI68" s="6">
        <v>30730.17</v>
      </c>
      <c r="AJ68" s="6">
        <v>5220</v>
      </c>
      <c r="AK68" s="6">
        <v>38209.49</v>
      </c>
      <c r="AL68" s="6">
        <v>190820.05</v>
      </c>
      <c r="AM68" s="6">
        <v>223809.53999999998</v>
      </c>
      <c r="AN68" s="6">
        <v>1924.49</v>
      </c>
      <c r="AO68" s="6">
        <v>38404.49</v>
      </c>
      <c r="AP68" s="6">
        <v>187329.54</v>
      </c>
      <c r="AQ68" s="6">
        <v>223809.54</v>
      </c>
      <c r="AR68" s="6">
        <v>-53.989272030651335</v>
      </c>
      <c r="AS68" s="6">
        <v>43.90281053214791</v>
      </c>
      <c r="AT68" s="6">
        <v>25.186362753809139</v>
      </c>
      <c r="AU68" s="6">
        <v>30.228340579226415</v>
      </c>
      <c r="AV68" s="6">
        <v>-2818.24</v>
      </c>
      <c r="AW68" s="6">
        <v>16775.04</v>
      </c>
      <c r="AX68" s="6">
        <v>48060.629999999976</v>
      </c>
      <c r="AY68" s="6">
        <v>67653.909999999974</v>
      </c>
      <c r="AZ68" s="6">
        <v>0</v>
      </c>
      <c r="BA68" s="6">
        <v>3295.51</v>
      </c>
      <c r="BB68" s="6">
        <v>0</v>
      </c>
      <c r="BC68" s="6">
        <v>3490.51</v>
      </c>
      <c r="BD68" s="4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</row>
    <row r="69" spans="1:61" x14ac:dyDescent="0.3">
      <c r="A69" s="4">
        <v>65</v>
      </c>
      <c r="B69" s="5" t="s">
        <v>59</v>
      </c>
      <c r="C69" s="5" t="s">
        <v>246</v>
      </c>
      <c r="D69" s="5" t="s">
        <v>248</v>
      </c>
      <c r="E69" s="10" t="str">
        <f t="shared" si="0"/>
        <v>375-10303</v>
      </c>
      <c r="F69" s="5" t="s">
        <v>183</v>
      </c>
      <c r="G69" s="5" t="s">
        <v>184</v>
      </c>
      <c r="H69" s="5" t="s">
        <v>82</v>
      </c>
      <c r="I69" s="6">
        <v>0</v>
      </c>
      <c r="J69" s="6">
        <v>0</v>
      </c>
      <c r="K69" s="4" t="b">
        <v>0</v>
      </c>
      <c r="L69" s="4" t="b">
        <v>0</v>
      </c>
      <c r="M69" s="6">
        <v>0</v>
      </c>
      <c r="N69" s="6">
        <v>0</v>
      </c>
      <c r="O69" s="4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14</v>
      </c>
      <c r="X69" s="6">
        <v>40601.83</v>
      </c>
      <c r="Y69" s="6">
        <v>40601.83</v>
      </c>
      <c r="Z69" s="6">
        <v>162402.07999999999</v>
      </c>
      <c r="AA69" s="6">
        <v>162402.07999999999</v>
      </c>
      <c r="AB69" s="6">
        <v>39863.51</v>
      </c>
      <c r="AC69" s="6">
        <v>39863.51</v>
      </c>
      <c r="AD69" s="6">
        <v>141690.85999999999</v>
      </c>
      <c r="AE69" s="6">
        <v>141690.85999999999</v>
      </c>
      <c r="AF69" s="6">
        <v>738.32</v>
      </c>
      <c r="AG69" s="6">
        <v>738.32</v>
      </c>
      <c r="AH69" s="6">
        <v>20711.22</v>
      </c>
      <c r="AI69" s="6">
        <v>20711.22</v>
      </c>
      <c r="AJ69" s="6">
        <v>4835.13</v>
      </c>
      <c r="AK69" s="6">
        <v>4835.13</v>
      </c>
      <c r="AL69" s="6">
        <v>148186.15</v>
      </c>
      <c r="AM69" s="6">
        <v>148186.15</v>
      </c>
      <c r="AN69" s="6">
        <v>60054.77</v>
      </c>
      <c r="AO69" s="6">
        <v>60054.77</v>
      </c>
      <c r="AP69" s="6">
        <v>148186.15</v>
      </c>
      <c r="AQ69" s="6">
        <v>148186.15</v>
      </c>
      <c r="AR69" s="6">
        <v>-739.72571575117945</v>
      </c>
      <c r="AS69" s="6">
        <v>-739.72571575117945</v>
      </c>
      <c r="AT69" s="6">
        <v>-9.5932919506984913</v>
      </c>
      <c r="AU69" s="6">
        <v>-9.5932919506984913</v>
      </c>
      <c r="AV69" s="6">
        <v>-35766.700000000004</v>
      </c>
      <c r="AW69" s="6">
        <v>-35766.700000000004</v>
      </c>
      <c r="AX69" s="6">
        <v>-14215.929999999993</v>
      </c>
      <c r="AY69" s="6">
        <v>-14215.929999999993</v>
      </c>
      <c r="AZ69" s="6">
        <v>0</v>
      </c>
      <c r="BA69" s="6">
        <v>0</v>
      </c>
      <c r="BB69" s="6">
        <v>0</v>
      </c>
      <c r="BC69" s="6">
        <v>0</v>
      </c>
      <c r="BD69" s="4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</row>
    <row r="70" spans="1:61" x14ac:dyDescent="0.3">
      <c r="A70" s="4">
        <v>66</v>
      </c>
      <c r="B70" s="5" t="s">
        <v>59</v>
      </c>
      <c r="C70" s="5" t="s">
        <v>243</v>
      </c>
      <c r="D70" s="5" t="s">
        <v>250</v>
      </c>
      <c r="E70" s="10" t="str">
        <f t="shared" ref="E70:E96" si="1">_xlfn.CONCAT(B70,"-",G70)</f>
        <v>375-10400</v>
      </c>
      <c r="F70" s="5" t="s">
        <v>185</v>
      </c>
      <c r="G70" s="5" t="s">
        <v>186</v>
      </c>
      <c r="H70" s="5" t="s">
        <v>62</v>
      </c>
      <c r="I70" s="6">
        <v>0</v>
      </c>
      <c r="J70" s="6">
        <v>0</v>
      </c>
      <c r="K70" s="4" t="b">
        <v>0</v>
      </c>
      <c r="L70" s="4" t="b">
        <v>0</v>
      </c>
      <c r="M70" s="6">
        <v>0</v>
      </c>
      <c r="N70" s="6">
        <v>0</v>
      </c>
      <c r="O70" s="4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14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4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</row>
    <row r="71" spans="1:61" x14ac:dyDescent="0.3">
      <c r="A71" s="4">
        <v>67</v>
      </c>
      <c r="B71" s="5" t="s">
        <v>59</v>
      </c>
      <c r="C71" s="5" t="s">
        <v>243</v>
      </c>
      <c r="D71" s="5" t="s">
        <v>250</v>
      </c>
      <c r="E71" s="10" t="str">
        <f t="shared" si="1"/>
        <v>375-10401</v>
      </c>
      <c r="F71" s="5" t="s">
        <v>158</v>
      </c>
      <c r="G71" s="5" t="s">
        <v>187</v>
      </c>
      <c r="H71" s="5" t="s">
        <v>62</v>
      </c>
      <c r="I71" s="6">
        <v>0</v>
      </c>
      <c r="J71" s="6">
        <v>0</v>
      </c>
      <c r="K71" s="4" t="b">
        <v>0</v>
      </c>
      <c r="L71" s="4" t="b">
        <v>0</v>
      </c>
      <c r="M71" s="6">
        <v>0</v>
      </c>
      <c r="N71" s="6">
        <v>0</v>
      </c>
      <c r="O71" s="4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14</v>
      </c>
      <c r="X71" s="6">
        <v>0</v>
      </c>
      <c r="Y71" s="6">
        <v>0</v>
      </c>
      <c r="Z71" s="6">
        <v>679.54</v>
      </c>
      <c r="AA71" s="6">
        <v>679.54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679.54</v>
      </c>
      <c r="AI71" s="6">
        <v>679.54</v>
      </c>
      <c r="AJ71" s="6">
        <v>0</v>
      </c>
      <c r="AK71" s="6">
        <v>0</v>
      </c>
      <c r="AL71" s="6">
        <v>4762.03</v>
      </c>
      <c r="AM71" s="6">
        <v>4762.03</v>
      </c>
      <c r="AN71" s="6">
        <v>3515.28</v>
      </c>
      <c r="AO71" s="6">
        <v>3515.28</v>
      </c>
      <c r="AP71" s="6">
        <v>4762.03</v>
      </c>
      <c r="AQ71" s="6">
        <v>4762.03</v>
      </c>
      <c r="AR71" s="6">
        <v>0</v>
      </c>
      <c r="AS71" s="6">
        <v>0</v>
      </c>
      <c r="AT71" s="6">
        <v>85.730035300071606</v>
      </c>
      <c r="AU71" s="6">
        <v>85.730035300071606</v>
      </c>
      <c r="AV71" s="6">
        <v>0</v>
      </c>
      <c r="AW71" s="6">
        <v>0</v>
      </c>
      <c r="AX71" s="6">
        <v>4082.49</v>
      </c>
      <c r="AY71" s="6">
        <v>4082.49</v>
      </c>
      <c r="AZ71" s="6">
        <v>0</v>
      </c>
      <c r="BA71" s="6">
        <v>0</v>
      </c>
      <c r="BB71" s="6">
        <v>0</v>
      </c>
      <c r="BC71" s="6">
        <v>0</v>
      </c>
      <c r="BD71" s="4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</row>
    <row r="72" spans="1:61" x14ac:dyDescent="0.3">
      <c r="A72" s="4">
        <v>68</v>
      </c>
      <c r="B72" s="5" t="s">
        <v>59</v>
      </c>
      <c r="C72" s="5" t="s">
        <v>243</v>
      </c>
      <c r="D72" s="5" t="s">
        <v>250</v>
      </c>
      <c r="E72" s="10" t="str">
        <f t="shared" si="1"/>
        <v>375-10402</v>
      </c>
      <c r="F72" s="5" t="s">
        <v>158</v>
      </c>
      <c r="G72" s="5" t="s">
        <v>188</v>
      </c>
      <c r="H72" s="5" t="s">
        <v>62</v>
      </c>
      <c r="I72" s="6">
        <v>0</v>
      </c>
      <c r="J72" s="6">
        <v>0</v>
      </c>
      <c r="K72" s="4" t="b">
        <v>0</v>
      </c>
      <c r="L72" s="4" t="b">
        <v>0</v>
      </c>
      <c r="M72" s="6">
        <v>0</v>
      </c>
      <c r="N72" s="6">
        <v>0</v>
      </c>
      <c r="O72" s="4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14</v>
      </c>
      <c r="X72" s="6">
        <v>1538.65</v>
      </c>
      <c r="Y72" s="6">
        <v>1538.65</v>
      </c>
      <c r="Z72" s="6">
        <v>6893.79</v>
      </c>
      <c r="AA72" s="6">
        <v>6893.79</v>
      </c>
      <c r="AB72" s="6">
        <v>77.13</v>
      </c>
      <c r="AC72" s="6">
        <v>77.13</v>
      </c>
      <c r="AD72" s="6">
        <v>4645.38</v>
      </c>
      <c r="AE72" s="6">
        <v>4645.38</v>
      </c>
      <c r="AF72" s="6">
        <v>1461.52</v>
      </c>
      <c r="AG72" s="6">
        <v>1461.52</v>
      </c>
      <c r="AH72" s="6">
        <v>2248.41</v>
      </c>
      <c r="AI72" s="6">
        <v>2248.41</v>
      </c>
      <c r="AJ72" s="6">
        <v>9571.24</v>
      </c>
      <c r="AK72" s="6">
        <v>9571.24</v>
      </c>
      <c r="AL72" s="6">
        <v>15085.44</v>
      </c>
      <c r="AM72" s="6">
        <v>15085.44</v>
      </c>
      <c r="AN72" s="6">
        <v>12754.45</v>
      </c>
      <c r="AO72" s="6">
        <v>12754.45</v>
      </c>
      <c r="AP72" s="6">
        <v>15085.44</v>
      </c>
      <c r="AQ72" s="6">
        <v>15085.44</v>
      </c>
      <c r="AR72" s="6">
        <v>83.92423552225209</v>
      </c>
      <c r="AS72" s="6">
        <v>83.92423552225209</v>
      </c>
      <c r="AT72" s="6">
        <v>54.301697530864203</v>
      </c>
      <c r="AU72" s="6">
        <v>54.301697530864203</v>
      </c>
      <c r="AV72" s="6">
        <v>8032.59</v>
      </c>
      <c r="AW72" s="6">
        <v>8032.59</v>
      </c>
      <c r="AX72" s="6">
        <v>8191.6500000000005</v>
      </c>
      <c r="AY72" s="6">
        <v>8191.6500000000005</v>
      </c>
      <c r="AZ72" s="6">
        <v>0</v>
      </c>
      <c r="BA72" s="6">
        <v>0</v>
      </c>
      <c r="BB72" s="6">
        <v>0</v>
      </c>
      <c r="BC72" s="6">
        <v>0</v>
      </c>
      <c r="BD72" s="4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</row>
    <row r="73" spans="1:61" x14ac:dyDescent="0.3">
      <c r="A73" s="4">
        <v>69</v>
      </c>
      <c r="B73" s="5" t="s">
        <v>59</v>
      </c>
      <c r="C73" s="5" t="s">
        <v>243</v>
      </c>
      <c r="D73" s="5" t="s">
        <v>250</v>
      </c>
      <c r="E73" s="10" t="str">
        <f t="shared" si="1"/>
        <v>375-10600</v>
      </c>
      <c r="F73" s="5" t="s">
        <v>189</v>
      </c>
      <c r="G73" s="5" t="s">
        <v>190</v>
      </c>
      <c r="H73" s="5" t="s">
        <v>82</v>
      </c>
      <c r="I73" s="6">
        <v>0</v>
      </c>
      <c r="J73" s="6">
        <v>0</v>
      </c>
      <c r="K73" s="4" t="b">
        <v>0</v>
      </c>
      <c r="L73" s="4" t="b">
        <v>0</v>
      </c>
      <c r="M73" s="6">
        <v>0</v>
      </c>
      <c r="N73" s="6">
        <v>0</v>
      </c>
      <c r="O73" s="4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14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4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</row>
    <row r="74" spans="1:61" x14ac:dyDescent="0.3">
      <c r="A74" s="4">
        <v>70</v>
      </c>
      <c r="B74" s="5" t="s">
        <v>59</v>
      </c>
      <c r="C74" s="5" t="s">
        <v>243</v>
      </c>
      <c r="D74" s="5" t="s">
        <v>250</v>
      </c>
      <c r="E74" s="10" t="str">
        <f t="shared" si="1"/>
        <v>375-10601</v>
      </c>
      <c r="F74" s="5" t="s">
        <v>158</v>
      </c>
      <c r="G74" s="5" t="s">
        <v>191</v>
      </c>
      <c r="H74" s="5" t="s">
        <v>82</v>
      </c>
      <c r="I74" s="6">
        <v>0</v>
      </c>
      <c r="J74" s="6">
        <v>0</v>
      </c>
      <c r="K74" s="4" t="b">
        <v>0</v>
      </c>
      <c r="L74" s="4" t="b">
        <v>0</v>
      </c>
      <c r="M74" s="6">
        <v>0</v>
      </c>
      <c r="N74" s="6">
        <v>0</v>
      </c>
      <c r="O74" s="4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14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4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</row>
    <row r="75" spans="1:61" x14ac:dyDescent="0.3">
      <c r="A75" s="4">
        <v>71</v>
      </c>
      <c r="B75" s="5" t="s">
        <v>59</v>
      </c>
      <c r="C75" s="5" t="s">
        <v>243</v>
      </c>
      <c r="D75" s="5" t="s">
        <v>250</v>
      </c>
      <c r="E75" s="10" t="str">
        <f t="shared" si="1"/>
        <v>375-10602</v>
      </c>
      <c r="F75" s="5" t="s">
        <v>156</v>
      </c>
      <c r="G75" s="5" t="s">
        <v>192</v>
      </c>
      <c r="H75" s="5" t="s">
        <v>82</v>
      </c>
      <c r="I75" s="6">
        <v>5289.04</v>
      </c>
      <c r="J75" s="6">
        <v>5289.04</v>
      </c>
      <c r="K75" s="4" t="b">
        <v>1</v>
      </c>
      <c r="L75" s="4" t="b">
        <v>1</v>
      </c>
      <c r="M75" s="6">
        <v>0</v>
      </c>
      <c r="N75" s="6">
        <v>807.64</v>
      </c>
      <c r="O75" s="4">
        <v>0</v>
      </c>
      <c r="P75" s="6">
        <v>0</v>
      </c>
      <c r="Q75" s="6">
        <v>807.64</v>
      </c>
      <c r="R75" s="6">
        <v>4481.3999999999996</v>
      </c>
      <c r="S75" s="6">
        <v>84.729932085973999</v>
      </c>
      <c r="T75" s="6">
        <v>5289.04</v>
      </c>
      <c r="U75" s="6">
        <v>807.64</v>
      </c>
      <c r="V75" s="6">
        <v>0</v>
      </c>
      <c r="W75" s="6">
        <v>14</v>
      </c>
      <c r="X75" s="6">
        <v>213.93</v>
      </c>
      <c r="Y75" s="6">
        <v>1021.5699999999999</v>
      </c>
      <c r="Z75" s="6">
        <v>213.93</v>
      </c>
      <c r="AA75" s="6">
        <v>1021.5699999999999</v>
      </c>
      <c r="AB75" s="6">
        <v>0</v>
      </c>
      <c r="AC75" s="6">
        <v>0</v>
      </c>
      <c r="AD75" s="6">
        <v>0</v>
      </c>
      <c r="AE75" s="6">
        <v>0</v>
      </c>
      <c r="AF75" s="6">
        <v>213.93</v>
      </c>
      <c r="AG75" s="6">
        <v>1021.5699999999999</v>
      </c>
      <c r="AH75" s="6">
        <v>213.93</v>
      </c>
      <c r="AI75" s="6">
        <v>1021.5699999999999</v>
      </c>
      <c r="AJ75" s="6">
        <v>1401</v>
      </c>
      <c r="AK75" s="6">
        <v>6690.04</v>
      </c>
      <c r="AL75" s="6">
        <v>1401</v>
      </c>
      <c r="AM75" s="6">
        <v>6690.04</v>
      </c>
      <c r="AN75" s="6">
        <v>1401</v>
      </c>
      <c r="AO75" s="6">
        <v>6690.04</v>
      </c>
      <c r="AP75" s="6">
        <v>1401</v>
      </c>
      <c r="AQ75" s="6">
        <v>6690.04</v>
      </c>
      <c r="AR75" s="6">
        <v>84.73019271948607</v>
      </c>
      <c r="AS75" s="6">
        <v>84.729986666746399</v>
      </c>
      <c r="AT75" s="6">
        <v>84.73019271948607</v>
      </c>
      <c r="AU75" s="6">
        <v>84.729986666746399</v>
      </c>
      <c r="AV75" s="6">
        <v>1187.07</v>
      </c>
      <c r="AW75" s="6">
        <v>5668.47</v>
      </c>
      <c r="AX75" s="6">
        <v>1187.07</v>
      </c>
      <c r="AY75" s="6">
        <v>5668.47</v>
      </c>
      <c r="AZ75" s="6">
        <v>0</v>
      </c>
      <c r="BA75" s="6">
        <v>0</v>
      </c>
      <c r="BB75" s="6">
        <v>0</v>
      </c>
      <c r="BC75" s="6">
        <v>0</v>
      </c>
      <c r="BD75" s="4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</row>
    <row r="76" spans="1:61" x14ac:dyDescent="0.3">
      <c r="A76" s="4">
        <v>72</v>
      </c>
      <c r="B76" s="5" t="s">
        <v>59</v>
      </c>
      <c r="C76" s="5" t="s">
        <v>241</v>
      </c>
      <c r="D76" s="5" t="s">
        <v>242</v>
      </c>
      <c r="E76" s="10" t="str">
        <f t="shared" si="1"/>
        <v>375-11200</v>
      </c>
      <c r="F76" s="5" t="s">
        <v>193</v>
      </c>
      <c r="G76" s="5" t="s">
        <v>194</v>
      </c>
      <c r="H76" s="5" t="s">
        <v>62</v>
      </c>
      <c r="I76" s="6">
        <v>0</v>
      </c>
      <c r="J76" s="6">
        <v>0</v>
      </c>
      <c r="K76" s="4" t="b">
        <v>0</v>
      </c>
      <c r="L76" s="4" t="b">
        <v>0</v>
      </c>
      <c r="M76" s="6">
        <v>0</v>
      </c>
      <c r="N76" s="6">
        <v>0</v>
      </c>
      <c r="O76" s="4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14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4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</row>
    <row r="77" spans="1:61" x14ac:dyDescent="0.3">
      <c r="A77" s="4">
        <v>73</v>
      </c>
      <c r="B77" s="5" t="s">
        <v>59</v>
      </c>
      <c r="C77" s="5" t="s">
        <v>241</v>
      </c>
      <c r="D77" s="5" t="s">
        <v>242</v>
      </c>
      <c r="E77" s="10" t="str">
        <f t="shared" si="1"/>
        <v>375-11201</v>
      </c>
      <c r="F77" s="5" t="s">
        <v>195</v>
      </c>
      <c r="G77" s="5" t="s">
        <v>196</v>
      </c>
      <c r="H77" s="5" t="s">
        <v>62</v>
      </c>
      <c r="I77" s="6">
        <v>0</v>
      </c>
      <c r="J77" s="6">
        <v>0</v>
      </c>
      <c r="K77" s="4" t="b">
        <v>0</v>
      </c>
      <c r="L77" s="4" t="b">
        <v>0</v>
      </c>
      <c r="M77" s="6">
        <v>0</v>
      </c>
      <c r="N77" s="6">
        <v>15.2</v>
      </c>
      <c r="O77" s="4">
        <v>0</v>
      </c>
      <c r="P77" s="6">
        <v>15.2</v>
      </c>
      <c r="Q77" s="6">
        <v>0</v>
      </c>
      <c r="R77" s="6">
        <v>-15.2</v>
      </c>
      <c r="S77" s="6">
        <v>0</v>
      </c>
      <c r="T77" s="6">
        <v>0</v>
      </c>
      <c r="U77" s="6">
        <v>15.2</v>
      </c>
      <c r="V77" s="6">
        <v>0</v>
      </c>
      <c r="W77" s="6">
        <v>14</v>
      </c>
      <c r="X77" s="6">
        <v>60.31</v>
      </c>
      <c r="Y77" s="6">
        <v>75.510000000000005</v>
      </c>
      <c r="Z77" s="6">
        <v>211911.57</v>
      </c>
      <c r="AA77" s="6">
        <v>211926.77000000002</v>
      </c>
      <c r="AB77" s="6">
        <v>60.31</v>
      </c>
      <c r="AC77" s="6">
        <v>75.510000000000005</v>
      </c>
      <c r="AD77" s="6">
        <v>185499.1</v>
      </c>
      <c r="AE77" s="6">
        <v>185514.30000000002</v>
      </c>
      <c r="AF77" s="6">
        <v>0</v>
      </c>
      <c r="AG77" s="6">
        <v>0</v>
      </c>
      <c r="AH77" s="6">
        <v>26412.47</v>
      </c>
      <c r="AI77" s="6">
        <v>26412.47</v>
      </c>
      <c r="AJ77" s="6">
        <v>0</v>
      </c>
      <c r="AK77" s="6">
        <v>0</v>
      </c>
      <c r="AL77" s="6">
        <v>208158.15</v>
      </c>
      <c r="AM77" s="6">
        <v>208158.15</v>
      </c>
      <c r="AN77" s="6">
        <v>0</v>
      </c>
      <c r="AO77" s="6">
        <v>0</v>
      </c>
      <c r="AP77" s="6">
        <v>208158.15</v>
      </c>
      <c r="AQ77" s="6">
        <v>208158.15</v>
      </c>
      <c r="AR77" s="6">
        <v>0</v>
      </c>
      <c r="AS77" s="6">
        <v>0</v>
      </c>
      <c r="AT77" s="6">
        <v>-1.8031578393639707</v>
      </c>
      <c r="AU77" s="6">
        <v>-1.8104599795876475</v>
      </c>
      <c r="AV77" s="6">
        <v>-60.31</v>
      </c>
      <c r="AW77" s="6">
        <v>-75.510000000000005</v>
      </c>
      <c r="AX77" s="6">
        <v>-3753.4200000000128</v>
      </c>
      <c r="AY77" s="6">
        <v>-3768.6200000000244</v>
      </c>
      <c r="AZ77" s="6">
        <v>0</v>
      </c>
      <c r="BA77" s="6">
        <v>0</v>
      </c>
      <c r="BB77" s="6">
        <v>0</v>
      </c>
      <c r="BC77" s="6">
        <v>0</v>
      </c>
      <c r="BD77" s="4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</row>
    <row r="78" spans="1:61" x14ac:dyDescent="0.3">
      <c r="A78" s="4">
        <v>74</v>
      </c>
      <c r="B78" s="5" t="s">
        <v>59</v>
      </c>
      <c r="C78" s="5" t="s">
        <v>241</v>
      </c>
      <c r="D78" s="5" t="s">
        <v>242</v>
      </c>
      <c r="E78" s="10" t="str">
        <f t="shared" si="1"/>
        <v>375-11202</v>
      </c>
      <c r="F78" s="5" t="s">
        <v>197</v>
      </c>
      <c r="G78" s="5" t="s">
        <v>198</v>
      </c>
      <c r="H78" s="5" t="s">
        <v>62</v>
      </c>
      <c r="I78" s="6">
        <v>0</v>
      </c>
      <c r="J78" s="6">
        <v>0</v>
      </c>
      <c r="K78" s="4" t="b">
        <v>0</v>
      </c>
      <c r="L78" s="4" t="b">
        <v>0</v>
      </c>
      <c r="M78" s="6">
        <v>0</v>
      </c>
      <c r="N78" s="6">
        <v>0</v>
      </c>
      <c r="O78" s="4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14</v>
      </c>
      <c r="X78" s="6">
        <v>0</v>
      </c>
      <c r="Y78" s="6">
        <v>0</v>
      </c>
      <c r="Z78" s="6">
        <v>437264.73</v>
      </c>
      <c r="AA78" s="6">
        <v>437264.73</v>
      </c>
      <c r="AB78" s="6">
        <v>0</v>
      </c>
      <c r="AC78" s="6">
        <v>0</v>
      </c>
      <c r="AD78" s="6">
        <v>370756.27</v>
      </c>
      <c r="AE78" s="6">
        <v>370756.27</v>
      </c>
      <c r="AF78" s="6">
        <v>0</v>
      </c>
      <c r="AG78" s="6">
        <v>0</v>
      </c>
      <c r="AH78" s="6">
        <v>66508.460000000006</v>
      </c>
      <c r="AI78" s="6">
        <v>66508.460000000006</v>
      </c>
      <c r="AJ78" s="6">
        <v>0</v>
      </c>
      <c r="AK78" s="6">
        <v>0</v>
      </c>
      <c r="AL78" s="6">
        <v>514576</v>
      </c>
      <c r="AM78" s="6">
        <v>514576</v>
      </c>
      <c r="AN78" s="6">
        <v>0</v>
      </c>
      <c r="AO78" s="6">
        <v>0</v>
      </c>
      <c r="AP78" s="6">
        <v>514576</v>
      </c>
      <c r="AQ78" s="6">
        <v>514576</v>
      </c>
      <c r="AR78" s="6">
        <v>0</v>
      </c>
      <c r="AS78" s="6">
        <v>0</v>
      </c>
      <c r="AT78" s="6">
        <v>15.024266580641152</v>
      </c>
      <c r="AU78" s="6">
        <v>15.024266580641152</v>
      </c>
      <c r="AV78" s="6">
        <v>0</v>
      </c>
      <c r="AW78" s="6">
        <v>0</v>
      </c>
      <c r="AX78" s="6">
        <v>77311.270000000019</v>
      </c>
      <c r="AY78" s="6">
        <v>77311.270000000019</v>
      </c>
      <c r="AZ78" s="6">
        <v>0</v>
      </c>
      <c r="BA78" s="6">
        <v>0</v>
      </c>
      <c r="BB78" s="6">
        <v>0</v>
      </c>
      <c r="BC78" s="6">
        <v>0</v>
      </c>
      <c r="BD78" s="4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</row>
    <row r="79" spans="1:61" x14ac:dyDescent="0.3">
      <c r="A79" s="4">
        <v>75</v>
      </c>
      <c r="B79" s="5" t="s">
        <v>59</v>
      </c>
      <c r="C79" s="5" t="s">
        <v>241</v>
      </c>
      <c r="D79" s="5" t="s">
        <v>242</v>
      </c>
      <c r="E79" s="10" t="str">
        <f t="shared" si="1"/>
        <v>375-11203</v>
      </c>
      <c r="F79" s="5" t="s">
        <v>199</v>
      </c>
      <c r="G79" s="5" t="s">
        <v>200</v>
      </c>
      <c r="H79" s="5" t="s">
        <v>73</v>
      </c>
      <c r="I79" s="6">
        <v>0</v>
      </c>
      <c r="J79" s="6">
        <v>0</v>
      </c>
      <c r="K79" s="4" t="b">
        <v>0</v>
      </c>
      <c r="L79" s="4" t="b">
        <v>0</v>
      </c>
      <c r="M79" s="6">
        <v>0</v>
      </c>
      <c r="N79" s="6">
        <v>0</v>
      </c>
      <c r="O79" s="4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14</v>
      </c>
      <c r="X79" s="6">
        <v>0</v>
      </c>
      <c r="Y79" s="6">
        <v>0</v>
      </c>
      <c r="Z79" s="6">
        <v>225742.58</v>
      </c>
      <c r="AA79" s="6">
        <v>225742.58</v>
      </c>
      <c r="AB79" s="6">
        <v>0</v>
      </c>
      <c r="AC79" s="6">
        <v>0</v>
      </c>
      <c r="AD79" s="6">
        <v>185206.11</v>
      </c>
      <c r="AE79" s="6">
        <v>185206.11</v>
      </c>
      <c r="AF79" s="6">
        <v>0</v>
      </c>
      <c r="AG79" s="6">
        <v>0</v>
      </c>
      <c r="AH79" s="6">
        <v>40536.47</v>
      </c>
      <c r="AI79" s="6">
        <v>40536.47</v>
      </c>
      <c r="AJ79" s="6">
        <v>0</v>
      </c>
      <c r="AK79" s="6">
        <v>0</v>
      </c>
      <c r="AL79" s="6">
        <v>315337.15999999997</v>
      </c>
      <c r="AM79" s="6">
        <v>315337.15999999997</v>
      </c>
      <c r="AN79" s="6">
        <v>0</v>
      </c>
      <c r="AO79" s="6">
        <v>0</v>
      </c>
      <c r="AP79" s="6">
        <v>315337.15999999997</v>
      </c>
      <c r="AQ79" s="6">
        <v>315337.15999999997</v>
      </c>
      <c r="AR79" s="6">
        <v>0</v>
      </c>
      <c r="AS79" s="6">
        <v>0</v>
      </c>
      <c r="AT79" s="6">
        <v>28.41231271316073</v>
      </c>
      <c r="AU79" s="6">
        <v>28.41231271316073</v>
      </c>
      <c r="AV79" s="6">
        <v>0</v>
      </c>
      <c r="AW79" s="6">
        <v>0</v>
      </c>
      <c r="AX79" s="6">
        <v>89594.579999999987</v>
      </c>
      <c r="AY79" s="6">
        <v>89594.579999999987</v>
      </c>
      <c r="AZ79" s="6">
        <v>0</v>
      </c>
      <c r="BA79" s="6">
        <v>0</v>
      </c>
      <c r="BB79" s="6">
        <v>0</v>
      </c>
      <c r="BC79" s="6">
        <v>0</v>
      </c>
      <c r="BD79" s="4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</row>
    <row r="80" spans="1:61" x14ac:dyDescent="0.3">
      <c r="A80" s="4">
        <v>76</v>
      </c>
      <c r="B80" s="5" t="s">
        <v>59</v>
      </c>
      <c r="C80" s="5" t="s">
        <v>243</v>
      </c>
      <c r="D80" s="5" t="s">
        <v>245</v>
      </c>
      <c r="E80" s="10" t="str">
        <f t="shared" si="1"/>
        <v>375-11600</v>
      </c>
      <c r="F80" s="5" t="s">
        <v>201</v>
      </c>
      <c r="G80" s="5" t="s">
        <v>202</v>
      </c>
      <c r="H80" s="5" t="s">
        <v>82</v>
      </c>
      <c r="I80" s="6">
        <v>0</v>
      </c>
      <c r="J80" s="6">
        <v>0</v>
      </c>
      <c r="K80" s="4" t="b">
        <v>0</v>
      </c>
      <c r="L80" s="4" t="b">
        <v>0</v>
      </c>
      <c r="M80" s="6">
        <v>0</v>
      </c>
      <c r="N80" s="6">
        <v>0</v>
      </c>
      <c r="O80" s="4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14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4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</row>
    <row r="81" spans="1:61" x14ac:dyDescent="0.3">
      <c r="A81" s="4">
        <v>77</v>
      </c>
      <c r="B81" s="5" t="s">
        <v>59</v>
      </c>
      <c r="C81" s="5" t="s">
        <v>243</v>
      </c>
      <c r="D81" s="5" t="s">
        <v>245</v>
      </c>
      <c r="E81" s="10" t="str">
        <f t="shared" si="1"/>
        <v>375-11601</v>
      </c>
      <c r="F81" s="5" t="s">
        <v>203</v>
      </c>
      <c r="G81" s="5" t="s">
        <v>204</v>
      </c>
      <c r="H81" s="5" t="s">
        <v>82</v>
      </c>
      <c r="I81" s="6">
        <v>0</v>
      </c>
      <c r="J81" s="6">
        <v>0</v>
      </c>
      <c r="K81" s="4" t="b">
        <v>0</v>
      </c>
      <c r="L81" s="4" t="b">
        <v>0</v>
      </c>
      <c r="M81" s="6">
        <v>0</v>
      </c>
      <c r="N81" s="6">
        <v>0</v>
      </c>
      <c r="O81" s="4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14</v>
      </c>
      <c r="X81" s="6">
        <v>0</v>
      </c>
      <c r="Y81" s="6">
        <v>0</v>
      </c>
      <c r="Z81" s="6">
        <v>433311.16</v>
      </c>
      <c r="AA81" s="6">
        <v>433311.16</v>
      </c>
      <c r="AB81" s="6">
        <v>0</v>
      </c>
      <c r="AC81" s="6">
        <v>0</v>
      </c>
      <c r="AD81" s="6">
        <v>368208.05</v>
      </c>
      <c r="AE81" s="6">
        <v>368208.05</v>
      </c>
      <c r="AF81" s="6">
        <v>0</v>
      </c>
      <c r="AG81" s="6">
        <v>0</v>
      </c>
      <c r="AH81" s="6">
        <v>65103.11</v>
      </c>
      <c r="AI81" s="6">
        <v>65103.11</v>
      </c>
      <c r="AJ81" s="6">
        <v>0</v>
      </c>
      <c r="AK81" s="6">
        <v>0</v>
      </c>
      <c r="AL81" s="6">
        <v>528213.97</v>
      </c>
      <c r="AM81" s="6">
        <v>528213.97</v>
      </c>
      <c r="AN81" s="6">
        <v>0</v>
      </c>
      <c r="AO81" s="6">
        <v>0</v>
      </c>
      <c r="AP81" s="6">
        <v>528213.97</v>
      </c>
      <c r="AQ81" s="6">
        <v>528213.97</v>
      </c>
      <c r="AR81" s="6">
        <v>0</v>
      </c>
      <c r="AS81" s="6">
        <v>0</v>
      </c>
      <c r="AT81" s="6">
        <v>17.966736093708388</v>
      </c>
      <c r="AU81" s="6">
        <v>17.966736093708388</v>
      </c>
      <c r="AV81" s="6">
        <v>0</v>
      </c>
      <c r="AW81" s="6">
        <v>0</v>
      </c>
      <c r="AX81" s="6">
        <v>94902.81</v>
      </c>
      <c r="AY81" s="6">
        <v>94902.81</v>
      </c>
      <c r="AZ81" s="6">
        <v>0</v>
      </c>
      <c r="BA81" s="6">
        <v>0</v>
      </c>
      <c r="BB81" s="6">
        <v>0</v>
      </c>
      <c r="BC81" s="6">
        <v>0</v>
      </c>
      <c r="BD81" s="4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</row>
    <row r="82" spans="1:61" x14ac:dyDescent="0.3">
      <c r="A82" s="4">
        <v>78</v>
      </c>
      <c r="B82" s="5" t="s">
        <v>59</v>
      </c>
      <c r="C82" s="5" t="s">
        <v>243</v>
      </c>
      <c r="D82" s="5" t="s">
        <v>252</v>
      </c>
      <c r="E82" s="10" t="str">
        <f t="shared" si="1"/>
        <v>375-12100</v>
      </c>
      <c r="F82" s="5" t="s">
        <v>205</v>
      </c>
      <c r="G82" s="5" t="s">
        <v>206</v>
      </c>
      <c r="H82" s="5" t="s">
        <v>62</v>
      </c>
      <c r="I82" s="6">
        <v>0</v>
      </c>
      <c r="J82" s="6">
        <v>0</v>
      </c>
      <c r="K82" s="4" t="b">
        <v>0</v>
      </c>
      <c r="L82" s="4" t="b">
        <v>0</v>
      </c>
      <c r="M82" s="6">
        <v>0</v>
      </c>
      <c r="N82" s="6">
        <v>0</v>
      </c>
      <c r="O82" s="4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14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4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</row>
    <row r="83" spans="1:61" x14ac:dyDescent="0.3">
      <c r="A83" s="4">
        <v>79</v>
      </c>
      <c r="B83" s="5" t="s">
        <v>59</v>
      </c>
      <c r="C83" s="5" t="s">
        <v>243</v>
      </c>
      <c r="D83" s="5" t="s">
        <v>252</v>
      </c>
      <c r="E83" s="10" t="str">
        <f t="shared" si="1"/>
        <v>375-12101</v>
      </c>
      <c r="F83" s="5" t="s">
        <v>205</v>
      </c>
      <c r="G83" s="5" t="s">
        <v>207</v>
      </c>
      <c r="H83" s="5" t="s">
        <v>62</v>
      </c>
      <c r="I83" s="6">
        <v>0</v>
      </c>
      <c r="J83" s="6">
        <v>0</v>
      </c>
      <c r="K83" s="4" t="b">
        <v>0</v>
      </c>
      <c r="L83" s="4" t="b">
        <v>0</v>
      </c>
      <c r="M83" s="6">
        <v>0</v>
      </c>
      <c r="N83" s="6">
        <v>0</v>
      </c>
      <c r="O83" s="4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14</v>
      </c>
      <c r="X83" s="6">
        <v>433.56</v>
      </c>
      <c r="Y83" s="6">
        <v>433.56</v>
      </c>
      <c r="Z83" s="6">
        <v>32942.36</v>
      </c>
      <c r="AA83" s="6">
        <v>32942.36</v>
      </c>
      <c r="AB83" s="6">
        <v>0</v>
      </c>
      <c r="AC83" s="6">
        <v>0</v>
      </c>
      <c r="AD83" s="6">
        <v>28049.74</v>
      </c>
      <c r="AE83" s="6">
        <v>28049.74</v>
      </c>
      <c r="AF83" s="6">
        <v>433.56</v>
      </c>
      <c r="AG83" s="6">
        <v>433.56</v>
      </c>
      <c r="AH83" s="6">
        <v>4892.62</v>
      </c>
      <c r="AI83" s="6">
        <v>4892.62</v>
      </c>
      <c r="AJ83" s="6">
        <v>2839.36</v>
      </c>
      <c r="AK83" s="6">
        <v>2839.36</v>
      </c>
      <c r="AL83" s="6">
        <v>35421.25</v>
      </c>
      <c r="AM83" s="6">
        <v>35421.25</v>
      </c>
      <c r="AN83" s="6">
        <v>2839.36</v>
      </c>
      <c r="AO83" s="6">
        <v>2839.36</v>
      </c>
      <c r="AP83" s="6">
        <v>35421.25</v>
      </c>
      <c r="AQ83" s="6">
        <v>35421.25</v>
      </c>
      <c r="AR83" s="6">
        <v>84.730361771666864</v>
      </c>
      <c r="AS83" s="6">
        <v>84.730361771666864</v>
      </c>
      <c r="AT83" s="6">
        <v>6.9983131594734775</v>
      </c>
      <c r="AU83" s="6">
        <v>6.9983131594734775</v>
      </c>
      <c r="AV83" s="6">
        <v>2405.8000000000002</v>
      </c>
      <c r="AW83" s="6">
        <v>2405.8000000000002</v>
      </c>
      <c r="AX83" s="6">
        <v>2478.8899999999994</v>
      </c>
      <c r="AY83" s="6">
        <v>2478.8899999999994</v>
      </c>
      <c r="AZ83" s="6">
        <v>0</v>
      </c>
      <c r="BA83" s="6">
        <v>0</v>
      </c>
      <c r="BB83" s="6">
        <v>0</v>
      </c>
      <c r="BC83" s="6">
        <v>0</v>
      </c>
      <c r="BD83" s="4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</row>
    <row r="84" spans="1:61" x14ac:dyDescent="0.3">
      <c r="A84" s="4">
        <v>80</v>
      </c>
      <c r="B84" s="5" t="s">
        <v>59</v>
      </c>
      <c r="C84" s="5" t="s">
        <v>243</v>
      </c>
      <c r="D84" s="5" t="s">
        <v>245</v>
      </c>
      <c r="E84" s="10" t="str">
        <f t="shared" si="1"/>
        <v>375-12200</v>
      </c>
      <c r="F84" s="5" t="s">
        <v>208</v>
      </c>
      <c r="G84" s="5" t="s">
        <v>209</v>
      </c>
      <c r="H84" s="5" t="s">
        <v>62</v>
      </c>
      <c r="I84" s="6">
        <v>0</v>
      </c>
      <c r="J84" s="6">
        <v>0</v>
      </c>
      <c r="K84" s="4" t="b">
        <v>0</v>
      </c>
      <c r="L84" s="4" t="b">
        <v>0</v>
      </c>
      <c r="M84" s="6">
        <v>0</v>
      </c>
      <c r="N84" s="6">
        <v>0</v>
      </c>
      <c r="O84" s="4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14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4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</row>
    <row r="85" spans="1:61" x14ac:dyDescent="0.3">
      <c r="A85" s="4">
        <v>81</v>
      </c>
      <c r="B85" s="5" t="s">
        <v>59</v>
      </c>
      <c r="C85" s="5" t="s">
        <v>243</v>
      </c>
      <c r="D85" s="5" t="s">
        <v>245</v>
      </c>
      <c r="E85" s="10" t="str">
        <f t="shared" si="1"/>
        <v>375-12201</v>
      </c>
      <c r="F85" s="5" t="s">
        <v>210</v>
      </c>
      <c r="G85" s="5" t="s">
        <v>211</v>
      </c>
      <c r="H85" s="5" t="s">
        <v>62</v>
      </c>
      <c r="I85" s="6">
        <v>0</v>
      </c>
      <c r="J85" s="6">
        <v>0</v>
      </c>
      <c r="K85" s="4" t="b">
        <v>0</v>
      </c>
      <c r="L85" s="4" t="b">
        <v>0</v>
      </c>
      <c r="M85" s="6">
        <v>0</v>
      </c>
      <c r="N85" s="6">
        <v>0</v>
      </c>
      <c r="O85" s="4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14</v>
      </c>
      <c r="X85" s="6">
        <v>0</v>
      </c>
      <c r="Y85" s="6">
        <v>0</v>
      </c>
      <c r="Z85" s="6">
        <v>2885.17</v>
      </c>
      <c r="AA85" s="6">
        <v>2885.17</v>
      </c>
      <c r="AB85" s="6">
        <v>0</v>
      </c>
      <c r="AC85" s="6">
        <v>0</v>
      </c>
      <c r="AD85" s="6">
        <v>2119.9299999999998</v>
      </c>
      <c r="AE85" s="6">
        <v>2119.9299999999998</v>
      </c>
      <c r="AF85" s="6">
        <v>0</v>
      </c>
      <c r="AG85" s="6">
        <v>0</v>
      </c>
      <c r="AH85" s="6">
        <v>765.24</v>
      </c>
      <c r="AI85" s="6">
        <v>765.24</v>
      </c>
      <c r="AJ85" s="6">
        <v>0</v>
      </c>
      <c r="AK85" s="6">
        <v>0</v>
      </c>
      <c r="AL85" s="6">
        <v>5890.64</v>
      </c>
      <c r="AM85" s="6">
        <v>5890.64</v>
      </c>
      <c r="AN85" s="6">
        <v>0</v>
      </c>
      <c r="AO85" s="6">
        <v>0</v>
      </c>
      <c r="AP85" s="6">
        <v>5890.64</v>
      </c>
      <c r="AQ85" s="6">
        <v>5890.64</v>
      </c>
      <c r="AR85" s="6">
        <v>0</v>
      </c>
      <c r="AS85" s="6">
        <v>0</v>
      </c>
      <c r="AT85" s="6">
        <v>51.021111458177728</v>
      </c>
      <c r="AU85" s="6">
        <v>51.021111458177728</v>
      </c>
      <c r="AV85" s="6">
        <v>0</v>
      </c>
      <c r="AW85" s="6">
        <v>0</v>
      </c>
      <c r="AX85" s="6">
        <v>3005.4700000000003</v>
      </c>
      <c r="AY85" s="6">
        <v>3005.4700000000003</v>
      </c>
      <c r="AZ85" s="6">
        <v>0</v>
      </c>
      <c r="BA85" s="6">
        <v>0</v>
      </c>
      <c r="BB85" s="6">
        <v>0</v>
      </c>
      <c r="BC85" s="6">
        <v>0</v>
      </c>
      <c r="BD85" s="4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</row>
    <row r="86" spans="1:61" x14ac:dyDescent="0.3">
      <c r="A86" s="4">
        <v>82</v>
      </c>
      <c r="B86" s="5" t="s">
        <v>59</v>
      </c>
      <c r="C86" s="5" t="s">
        <v>246</v>
      </c>
      <c r="D86" s="5" t="s">
        <v>248</v>
      </c>
      <c r="E86" s="10" t="str">
        <f t="shared" si="1"/>
        <v>375-12300</v>
      </c>
      <c r="F86" s="5" t="s">
        <v>212</v>
      </c>
      <c r="G86" s="5" t="s">
        <v>213</v>
      </c>
      <c r="H86" s="5" t="s">
        <v>82</v>
      </c>
      <c r="I86" s="6">
        <v>0</v>
      </c>
      <c r="J86" s="6">
        <v>0</v>
      </c>
      <c r="K86" s="4" t="b">
        <v>0</v>
      </c>
      <c r="L86" s="4" t="b">
        <v>0</v>
      </c>
      <c r="M86" s="6">
        <v>0</v>
      </c>
      <c r="N86" s="6">
        <v>0</v>
      </c>
      <c r="O86" s="4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14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4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</row>
    <row r="87" spans="1:61" x14ac:dyDescent="0.3">
      <c r="A87" s="4">
        <v>83</v>
      </c>
      <c r="B87" s="5" t="s">
        <v>59</v>
      </c>
      <c r="C87" s="5" t="s">
        <v>246</v>
      </c>
      <c r="D87" s="5" t="s">
        <v>247</v>
      </c>
      <c r="E87" s="10" t="str">
        <f t="shared" si="1"/>
        <v>375-12301</v>
      </c>
      <c r="F87" s="5" t="s">
        <v>214</v>
      </c>
      <c r="G87" s="5" t="s">
        <v>215</v>
      </c>
      <c r="H87" s="5" t="s">
        <v>82</v>
      </c>
      <c r="I87" s="6">
        <v>0</v>
      </c>
      <c r="J87" s="6">
        <v>0</v>
      </c>
      <c r="K87" s="4" t="b">
        <v>0</v>
      </c>
      <c r="L87" s="4" t="b">
        <v>0</v>
      </c>
      <c r="M87" s="6">
        <v>0</v>
      </c>
      <c r="N87" s="6">
        <v>0</v>
      </c>
      <c r="O87" s="4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14</v>
      </c>
      <c r="X87" s="6">
        <v>0</v>
      </c>
      <c r="Y87" s="6">
        <v>0</v>
      </c>
      <c r="Z87" s="6">
        <v>65849.84</v>
      </c>
      <c r="AA87" s="6">
        <v>65849.84</v>
      </c>
      <c r="AB87" s="6">
        <v>0</v>
      </c>
      <c r="AC87" s="6">
        <v>0</v>
      </c>
      <c r="AD87" s="6">
        <v>52015.17</v>
      </c>
      <c r="AE87" s="6">
        <v>52015.17</v>
      </c>
      <c r="AF87" s="6">
        <v>0</v>
      </c>
      <c r="AG87" s="6">
        <v>0</v>
      </c>
      <c r="AH87" s="6">
        <v>13834.67</v>
      </c>
      <c r="AI87" s="6">
        <v>13834.67</v>
      </c>
      <c r="AJ87" s="6">
        <v>0</v>
      </c>
      <c r="AK87" s="6">
        <v>0</v>
      </c>
      <c r="AL87" s="6">
        <v>107005.58</v>
      </c>
      <c r="AM87" s="6">
        <v>107005.58</v>
      </c>
      <c r="AN87" s="6">
        <v>0</v>
      </c>
      <c r="AO87" s="6">
        <v>0</v>
      </c>
      <c r="AP87" s="6">
        <v>107005.58</v>
      </c>
      <c r="AQ87" s="6">
        <v>107005.58</v>
      </c>
      <c r="AR87" s="6">
        <v>0</v>
      </c>
      <c r="AS87" s="6">
        <v>0</v>
      </c>
      <c r="AT87" s="6">
        <v>38.461302672253176</v>
      </c>
      <c r="AU87" s="6">
        <v>38.461302672253176</v>
      </c>
      <c r="AV87" s="6">
        <v>0</v>
      </c>
      <c r="AW87" s="6">
        <v>0</v>
      </c>
      <c r="AX87" s="6">
        <v>41155.740000000005</v>
      </c>
      <c r="AY87" s="6">
        <v>41155.740000000005</v>
      </c>
      <c r="AZ87" s="6">
        <v>0</v>
      </c>
      <c r="BA87" s="6">
        <v>0</v>
      </c>
      <c r="BB87" s="6">
        <v>0</v>
      </c>
      <c r="BC87" s="6">
        <v>0</v>
      </c>
      <c r="BD87" s="4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</row>
    <row r="88" spans="1:61" x14ac:dyDescent="0.3">
      <c r="A88" s="4">
        <v>84</v>
      </c>
      <c r="B88" s="5" t="s">
        <v>59</v>
      </c>
      <c r="C88" s="5" t="s">
        <v>246</v>
      </c>
      <c r="D88" s="5" t="s">
        <v>247</v>
      </c>
      <c r="E88" s="10" t="str">
        <f t="shared" si="1"/>
        <v>375-12302</v>
      </c>
      <c r="F88" s="5" t="s">
        <v>216</v>
      </c>
      <c r="G88" s="5" t="s">
        <v>217</v>
      </c>
      <c r="H88" s="5" t="s">
        <v>82</v>
      </c>
      <c r="I88" s="6">
        <v>0</v>
      </c>
      <c r="J88" s="6">
        <v>-950</v>
      </c>
      <c r="K88" s="4" t="b">
        <v>1</v>
      </c>
      <c r="L88" s="4" t="b">
        <v>1</v>
      </c>
      <c r="M88" s="6">
        <v>0</v>
      </c>
      <c r="N88" s="6">
        <v>-145.07</v>
      </c>
      <c r="O88" s="4">
        <v>0</v>
      </c>
      <c r="P88" s="6">
        <v>0</v>
      </c>
      <c r="Q88" s="6">
        <v>-145.07</v>
      </c>
      <c r="R88" s="6">
        <v>-804.93000000000006</v>
      </c>
      <c r="S88" s="6">
        <v>84.729473684210532</v>
      </c>
      <c r="T88" s="6">
        <v>0</v>
      </c>
      <c r="U88" s="6">
        <v>1.69</v>
      </c>
      <c r="V88" s="6">
        <v>0</v>
      </c>
      <c r="W88" s="6">
        <v>14</v>
      </c>
      <c r="X88" s="6">
        <v>4494.24</v>
      </c>
      <c r="Y88" s="6">
        <v>4349.17</v>
      </c>
      <c r="Z88" s="6">
        <v>7484.8</v>
      </c>
      <c r="AA88" s="6">
        <v>7339.7300000000005</v>
      </c>
      <c r="AB88" s="6">
        <v>3254.86</v>
      </c>
      <c r="AC88" s="6">
        <v>3254.86</v>
      </c>
      <c r="AD88" s="6">
        <v>988.78</v>
      </c>
      <c r="AE88" s="6">
        <v>988.78</v>
      </c>
      <c r="AF88" s="6">
        <v>1239.3800000000001</v>
      </c>
      <c r="AG88" s="6">
        <v>1094.3100000000002</v>
      </c>
      <c r="AH88" s="6">
        <v>6496.02</v>
      </c>
      <c r="AI88" s="6">
        <v>6350.9500000000007</v>
      </c>
      <c r="AJ88" s="6">
        <v>8116.4</v>
      </c>
      <c r="AK88" s="6">
        <v>7166.4</v>
      </c>
      <c r="AL88" s="6">
        <v>48451.34</v>
      </c>
      <c r="AM88" s="6">
        <v>47501.34</v>
      </c>
      <c r="AN88" s="6">
        <v>7166.4</v>
      </c>
      <c r="AO88" s="6">
        <v>7166.4</v>
      </c>
      <c r="AP88" s="6">
        <v>47501.34</v>
      </c>
      <c r="AQ88" s="6">
        <v>47501.34</v>
      </c>
      <c r="AR88" s="6">
        <v>44.627667438765954</v>
      </c>
      <c r="AS88" s="6">
        <v>39.311648805536947</v>
      </c>
      <c r="AT88" s="6">
        <v>84.551923641327562</v>
      </c>
      <c r="AU88" s="6">
        <v>84.548372740642677</v>
      </c>
      <c r="AV88" s="6">
        <v>3622.16</v>
      </c>
      <c r="AW88" s="6">
        <v>2817.2299999999996</v>
      </c>
      <c r="AX88" s="6">
        <v>40966.539999999994</v>
      </c>
      <c r="AY88" s="6">
        <v>40161.609999999993</v>
      </c>
      <c r="AZ88" s="6">
        <v>-950</v>
      </c>
      <c r="BA88" s="6">
        <v>950</v>
      </c>
      <c r="BB88" s="6">
        <v>0</v>
      </c>
      <c r="BC88" s="6">
        <v>950</v>
      </c>
      <c r="BD88" s="4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</row>
    <row r="89" spans="1:61" x14ac:dyDescent="0.3">
      <c r="A89" s="4">
        <v>85</v>
      </c>
      <c r="B89" s="5" t="s">
        <v>59</v>
      </c>
      <c r="C89" s="5" t="s">
        <v>246</v>
      </c>
      <c r="D89" s="5" t="s">
        <v>248</v>
      </c>
      <c r="E89" s="10" t="str">
        <f t="shared" si="1"/>
        <v>375-12303</v>
      </c>
      <c r="F89" s="5" t="s">
        <v>218</v>
      </c>
      <c r="G89" s="5" t="s">
        <v>219</v>
      </c>
      <c r="H89" s="5" t="s">
        <v>82</v>
      </c>
      <c r="I89" s="6">
        <v>0</v>
      </c>
      <c r="J89" s="6">
        <v>950</v>
      </c>
      <c r="K89" s="4" t="b">
        <v>1</v>
      </c>
      <c r="L89" s="4" t="b">
        <v>1</v>
      </c>
      <c r="M89" s="6">
        <v>0</v>
      </c>
      <c r="N89" s="6">
        <v>145.07</v>
      </c>
      <c r="O89" s="4">
        <v>0</v>
      </c>
      <c r="P89" s="6">
        <v>0</v>
      </c>
      <c r="Q89" s="6">
        <v>145.07</v>
      </c>
      <c r="R89" s="6">
        <v>804.93000000000006</v>
      </c>
      <c r="S89" s="6">
        <v>84.729473684210532</v>
      </c>
      <c r="T89" s="6">
        <v>950</v>
      </c>
      <c r="U89" s="6">
        <v>145.07</v>
      </c>
      <c r="V89" s="6">
        <v>0</v>
      </c>
      <c r="W89" s="6">
        <v>14</v>
      </c>
      <c r="X89" s="6">
        <v>11178.74</v>
      </c>
      <c r="Y89" s="6">
        <v>11323.81</v>
      </c>
      <c r="Z89" s="6">
        <v>126646.88</v>
      </c>
      <c r="AA89" s="6">
        <v>126791.95000000001</v>
      </c>
      <c r="AB89" s="6">
        <v>5015.79</v>
      </c>
      <c r="AC89" s="6">
        <v>5015.79</v>
      </c>
      <c r="AD89" s="6">
        <v>99514.05</v>
      </c>
      <c r="AE89" s="6">
        <v>99514.05</v>
      </c>
      <c r="AF89" s="6">
        <v>6162.95</v>
      </c>
      <c r="AG89" s="6">
        <v>6308.0199999999995</v>
      </c>
      <c r="AH89" s="6">
        <v>27132.83</v>
      </c>
      <c r="AI89" s="6">
        <v>27277.9</v>
      </c>
      <c r="AJ89" s="6">
        <v>40359.870000000003</v>
      </c>
      <c r="AK89" s="6">
        <v>41309.870000000003</v>
      </c>
      <c r="AL89" s="6">
        <v>187310.67</v>
      </c>
      <c r="AM89" s="6">
        <v>188260.67</v>
      </c>
      <c r="AN89" s="6">
        <v>81966.559999999998</v>
      </c>
      <c r="AO89" s="6">
        <v>81966.559999999998</v>
      </c>
      <c r="AP89" s="6">
        <v>188563.65</v>
      </c>
      <c r="AQ89" s="6">
        <v>188563.65</v>
      </c>
      <c r="AR89" s="6">
        <v>72.302338932211626</v>
      </c>
      <c r="AS89" s="6">
        <v>72.588124823438079</v>
      </c>
      <c r="AT89" s="6">
        <v>32.386724151912972</v>
      </c>
      <c r="AU89" s="6">
        <v>32.650855858528494</v>
      </c>
      <c r="AV89" s="6">
        <v>29181.130000000005</v>
      </c>
      <c r="AW89" s="6">
        <v>29986.060000000005</v>
      </c>
      <c r="AX89" s="6">
        <v>60663.790000000008</v>
      </c>
      <c r="AY89" s="6">
        <v>61468.72</v>
      </c>
      <c r="AZ89" s="6">
        <v>950</v>
      </c>
      <c r="BA89" s="6">
        <v>0</v>
      </c>
      <c r="BB89" s="6">
        <v>0</v>
      </c>
      <c r="BC89" s="6">
        <v>0</v>
      </c>
      <c r="BD89" s="4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</row>
    <row r="90" spans="1:61" x14ac:dyDescent="0.3">
      <c r="A90" s="4">
        <v>86</v>
      </c>
      <c r="B90" s="5" t="s">
        <v>59</v>
      </c>
      <c r="C90" s="5" t="s">
        <v>253</v>
      </c>
      <c r="D90" s="5" t="s">
        <v>254</v>
      </c>
      <c r="E90" s="10" t="str">
        <f t="shared" si="1"/>
        <v>375-88800</v>
      </c>
      <c r="F90" s="5" t="s">
        <v>220</v>
      </c>
      <c r="G90" s="5" t="s">
        <v>221</v>
      </c>
      <c r="H90" s="5" t="s">
        <v>62</v>
      </c>
      <c r="I90" s="6">
        <v>0</v>
      </c>
      <c r="J90" s="6">
        <v>0</v>
      </c>
      <c r="K90" s="4" t="b">
        <v>0</v>
      </c>
      <c r="L90" s="4" t="b">
        <v>0</v>
      </c>
      <c r="M90" s="6">
        <v>0</v>
      </c>
      <c r="N90" s="6">
        <v>84.56</v>
      </c>
      <c r="O90" s="4">
        <v>0</v>
      </c>
      <c r="P90" s="6">
        <v>84.56</v>
      </c>
      <c r="Q90" s="6">
        <v>0</v>
      </c>
      <c r="R90" s="6">
        <v>-84.56</v>
      </c>
      <c r="S90" s="6">
        <v>0</v>
      </c>
      <c r="T90" s="6">
        <v>0</v>
      </c>
      <c r="U90" s="6">
        <v>84.56</v>
      </c>
      <c r="V90" s="6">
        <v>0</v>
      </c>
      <c r="W90" s="6">
        <v>14</v>
      </c>
      <c r="X90" s="6">
        <v>295.19</v>
      </c>
      <c r="Y90" s="6">
        <v>379.75</v>
      </c>
      <c r="Z90" s="6">
        <v>3993.33</v>
      </c>
      <c r="AA90" s="6">
        <v>4077.89</v>
      </c>
      <c r="AB90" s="6">
        <v>295.19</v>
      </c>
      <c r="AC90" s="6">
        <v>379.75</v>
      </c>
      <c r="AD90" s="6">
        <v>3993.33</v>
      </c>
      <c r="AE90" s="6">
        <v>4077.89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-295.19</v>
      </c>
      <c r="AW90" s="6">
        <v>-379.75</v>
      </c>
      <c r="AX90" s="6">
        <v>-3993.33</v>
      </c>
      <c r="AY90" s="6">
        <v>-4077.89</v>
      </c>
      <c r="AZ90" s="6">
        <v>0</v>
      </c>
      <c r="BA90" s="6">
        <v>0</v>
      </c>
      <c r="BB90" s="6">
        <v>0</v>
      </c>
      <c r="BC90" s="6">
        <v>0</v>
      </c>
      <c r="BD90" s="4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</row>
    <row r="91" spans="1:61" x14ac:dyDescent="0.3">
      <c r="A91" s="4">
        <v>87</v>
      </c>
      <c r="B91" s="5" t="s">
        <v>59</v>
      </c>
      <c r="C91" s="5" t="s">
        <v>253</v>
      </c>
      <c r="D91" s="5" t="s">
        <v>254</v>
      </c>
      <c r="E91" s="10" t="str">
        <f t="shared" si="1"/>
        <v>375-88900</v>
      </c>
      <c r="F91" s="5" t="s">
        <v>222</v>
      </c>
      <c r="G91" s="5" t="s">
        <v>223</v>
      </c>
      <c r="H91" s="5" t="s">
        <v>62</v>
      </c>
      <c r="I91" s="6">
        <v>0</v>
      </c>
      <c r="J91" s="6">
        <v>0</v>
      </c>
      <c r="K91" s="4" t="b">
        <v>0</v>
      </c>
      <c r="L91" s="4" t="b">
        <v>0</v>
      </c>
      <c r="M91" s="6">
        <v>0</v>
      </c>
      <c r="N91" s="6">
        <v>-26.06</v>
      </c>
      <c r="O91" s="4">
        <v>0</v>
      </c>
      <c r="P91" s="6">
        <v>-26.06</v>
      </c>
      <c r="Q91" s="6">
        <v>0</v>
      </c>
      <c r="R91" s="6">
        <v>26.06</v>
      </c>
      <c r="S91" s="6">
        <v>0</v>
      </c>
      <c r="T91" s="6">
        <v>0</v>
      </c>
      <c r="U91" s="6">
        <v>-26.06</v>
      </c>
      <c r="V91" s="6">
        <v>0</v>
      </c>
      <c r="W91" s="6">
        <v>14</v>
      </c>
      <c r="X91" s="6">
        <v>-47.02</v>
      </c>
      <c r="Y91" s="6">
        <v>-73.08</v>
      </c>
      <c r="Z91" s="6">
        <v>-6310.32</v>
      </c>
      <c r="AA91" s="6">
        <v>-6336.38</v>
      </c>
      <c r="AB91" s="6">
        <v>-47.02</v>
      </c>
      <c r="AC91" s="6">
        <v>-73.08</v>
      </c>
      <c r="AD91" s="6">
        <v>-6310.32</v>
      </c>
      <c r="AE91" s="6">
        <v>-6336.38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47.02</v>
      </c>
      <c r="AW91" s="6">
        <v>73.08</v>
      </c>
      <c r="AX91" s="6">
        <v>6310.32</v>
      </c>
      <c r="AY91" s="6">
        <v>6336.38</v>
      </c>
      <c r="AZ91" s="6">
        <v>0</v>
      </c>
      <c r="BA91" s="6">
        <v>0</v>
      </c>
      <c r="BB91" s="6">
        <v>0</v>
      </c>
      <c r="BC91" s="6">
        <v>0</v>
      </c>
      <c r="BD91" s="4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</row>
    <row r="92" spans="1:61" x14ac:dyDescent="0.3">
      <c r="A92" s="4">
        <v>88</v>
      </c>
      <c r="B92" s="5" t="s">
        <v>59</v>
      </c>
      <c r="C92" s="5" t="s">
        <v>253</v>
      </c>
      <c r="D92" s="5" t="s">
        <v>254</v>
      </c>
      <c r="E92" s="10" t="str">
        <f t="shared" si="1"/>
        <v>375-93100</v>
      </c>
      <c r="F92" s="5" t="s">
        <v>224</v>
      </c>
      <c r="G92" s="5" t="s">
        <v>225</v>
      </c>
      <c r="H92" s="5" t="s">
        <v>62</v>
      </c>
      <c r="I92" s="6">
        <v>0</v>
      </c>
      <c r="J92" s="6">
        <v>0</v>
      </c>
      <c r="K92" s="4" t="b">
        <v>0</v>
      </c>
      <c r="L92" s="4" t="b">
        <v>0</v>
      </c>
      <c r="M92" s="6">
        <v>0</v>
      </c>
      <c r="N92" s="6">
        <v>0</v>
      </c>
      <c r="O92" s="4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14</v>
      </c>
      <c r="X92" s="6">
        <v>97.9</v>
      </c>
      <c r="Y92" s="6">
        <v>97.9</v>
      </c>
      <c r="Z92" s="6">
        <v>8060.29</v>
      </c>
      <c r="AA92" s="6">
        <v>8060.29</v>
      </c>
      <c r="AB92" s="6">
        <v>97.9</v>
      </c>
      <c r="AC92" s="6">
        <v>97.9</v>
      </c>
      <c r="AD92" s="6">
        <v>8060.29</v>
      </c>
      <c r="AE92" s="6">
        <v>8060.29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-97.9</v>
      </c>
      <c r="AW92" s="6">
        <v>-97.9</v>
      </c>
      <c r="AX92" s="6">
        <v>-8060.29</v>
      </c>
      <c r="AY92" s="6">
        <v>-8060.29</v>
      </c>
      <c r="AZ92" s="6">
        <v>0</v>
      </c>
      <c r="BA92" s="6">
        <v>0</v>
      </c>
      <c r="BB92" s="6">
        <v>0</v>
      </c>
      <c r="BC92" s="6">
        <v>0</v>
      </c>
      <c r="BD92" s="4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</row>
    <row r="93" spans="1:61" x14ac:dyDescent="0.3">
      <c r="A93" s="4">
        <v>89</v>
      </c>
      <c r="B93" s="5" t="s">
        <v>59</v>
      </c>
      <c r="C93" s="5" t="s">
        <v>253</v>
      </c>
      <c r="D93" s="5" t="s">
        <v>254</v>
      </c>
      <c r="E93" s="10" t="str">
        <f t="shared" si="1"/>
        <v>375-93200</v>
      </c>
      <c r="F93" s="5" t="s">
        <v>226</v>
      </c>
      <c r="G93" s="5" t="s">
        <v>227</v>
      </c>
      <c r="H93" s="5" t="s">
        <v>62</v>
      </c>
      <c r="I93" s="6">
        <v>0</v>
      </c>
      <c r="J93" s="6">
        <v>0</v>
      </c>
      <c r="K93" s="4" t="b">
        <v>0</v>
      </c>
      <c r="L93" s="4" t="b">
        <v>0</v>
      </c>
      <c r="M93" s="6">
        <v>0</v>
      </c>
      <c r="N93" s="6">
        <v>1299.7</v>
      </c>
      <c r="O93" s="4">
        <v>0</v>
      </c>
      <c r="P93" s="6">
        <v>1299.7</v>
      </c>
      <c r="Q93" s="6">
        <v>0</v>
      </c>
      <c r="R93" s="6">
        <v>-1299.7</v>
      </c>
      <c r="S93" s="6">
        <v>0</v>
      </c>
      <c r="T93" s="6">
        <v>0</v>
      </c>
      <c r="U93" s="6">
        <v>1299.7</v>
      </c>
      <c r="V93" s="6">
        <v>0</v>
      </c>
      <c r="W93" s="6">
        <v>14</v>
      </c>
      <c r="X93" s="6">
        <v>5908.29</v>
      </c>
      <c r="Y93" s="6">
        <v>7207.99</v>
      </c>
      <c r="Z93" s="6">
        <v>55294.8</v>
      </c>
      <c r="AA93" s="6">
        <v>56594.5</v>
      </c>
      <c r="AB93" s="6">
        <v>5908.29</v>
      </c>
      <c r="AC93" s="6">
        <v>7207.99</v>
      </c>
      <c r="AD93" s="6">
        <v>55294.8</v>
      </c>
      <c r="AE93" s="6">
        <v>56594.5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-5908.29</v>
      </c>
      <c r="AW93" s="6">
        <v>-7207.99</v>
      </c>
      <c r="AX93" s="6">
        <v>-55294.8</v>
      </c>
      <c r="AY93" s="6">
        <v>-56594.5</v>
      </c>
      <c r="AZ93" s="6">
        <v>0</v>
      </c>
      <c r="BA93" s="6">
        <v>0</v>
      </c>
      <c r="BB93" s="6">
        <v>0</v>
      </c>
      <c r="BC93" s="6">
        <v>0</v>
      </c>
      <c r="BD93" s="4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</row>
    <row r="94" spans="1:61" x14ac:dyDescent="0.3">
      <c r="A94" s="4">
        <v>90</v>
      </c>
      <c r="B94" s="5" t="s">
        <v>59</v>
      </c>
      <c r="C94" s="5" t="s">
        <v>253</v>
      </c>
      <c r="D94" s="5" t="s">
        <v>254</v>
      </c>
      <c r="E94" s="10" t="str">
        <f t="shared" si="1"/>
        <v>375-96300</v>
      </c>
      <c r="F94" s="5" t="s">
        <v>228</v>
      </c>
      <c r="G94" s="5" t="s">
        <v>229</v>
      </c>
      <c r="H94" s="5" t="s">
        <v>62</v>
      </c>
      <c r="I94" s="6">
        <v>0</v>
      </c>
      <c r="J94" s="6">
        <v>0</v>
      </c>
      <c r="K94" s="4" t="b">
        <v>0</v>
      </c>
      <c r="L94" s="4" t="b">
        <v>0</v>
      </c>
      <c r="M94" s="6">
        <v>0</v>
      </c>
      <c r="N94" s="6">
        <v>0</v>
      </c>
      <c r="O94" s="4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14</v>
      </c>
      <c r="X94" s="6">
        <v>0</v>
      </c>
      <c r="Y94" s="6">
        <v>0</v>
      </c>
      <c r="Z94" s="6">
        <v>135392.29</v>
      </c>
      <c r="AA94" s="6">
        <v>135392.29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135392.29</v>
      </c>
      <c r="AI94" s="6">
        <v>135392.29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-135392.29</v>
      </c>
      <c r="AY94" s="6">
        <v>-135392.29</v>
      </c>
      <c r="AZ94" s="6">
        <v>0</v>
      </c>
      <c r="BA94" s="6">
        <v>0</v>
      </c>
      <c r="BB94" s="6">
        <v>0</v>
      </c>
      <c r="BC94" s="6">
        <v>0</v>
      </c>
      <c r="BD94" s="4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</row>
    <row r="95" spans="1:61" x14ac:dyDescent="0.3">
      <c r="A95" s="4">
        <v>91</v>
      </c>
      <c r="B95" s="5" t="s">
        <v>59</v>
      </c>
      <c r="C95" s="5" t="s">
        <v>253</v>
      </c>
      <c r="D95" s="5" t="s">
        <v>254</v>
      </c>
      <c r="E95" s="10" t="str">
        <f t="shared" si="1"/>
        <v>375-99900</v>
      </c>
      <c r="F95" s="5" t="s">
        <v>230</v>
      </c>
      <c r="G95" s="5" t="s">
        <v>231</v>
      </c>
      <c r="H95" s="5" t="s">
        <v>62</v>
      </c>
      <c r="I95" s="6">
        <v>0</v>
      </c>
      <c r="J95" s="6">
        <v>0</v>
      </c>
      <c r="K95" s="4" t="b">
        <v>0</v>
      </c>
      <c r="L95" s="4" t="b">
        <v>0</v>
      </c>
      <c r="M95" s="6">
        <v>0</v>
      </c>
      <c r="N95" s="6">
        <v>0</v>
      </c>
      <c r="O95" s="4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14</v>
      </c>
      <c r="X95" s="6">
        <v>0</v>
      </c>
      <c r="Y95" s="6">
        <v>0</v>
      </c>
      <c r="Z95" s="6">
        <v>-522.58000000000004</v>
      </c>
      <c r="AA95" s="6">
        <v>-522.58000000000004</v>
      </c>
      <c r="AB95" s="6">
        <v>0</v>
      </c>
      <c r="AC95" s="6">
        <v>0</v>
      </c>
      <c r="AD95" s="6">
        <v>-522.58000000000004</v>
      </c>
      <c r="AE95" s="6">
        <v>-522.58000000000004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522.58000000000004</v>
      </c>
      <c r="AY95" s="6">
        <v>522.58000000000004</v>
      </c>
      <c r="AZ95" s="6">
        <v>0</v>
      </c>
      <c r="BA95" s="6">
        <v>0</v>
      </c>
      <c r="BB95" s="6">
        <v>0</v>
      </c>
      <c r="BC95" s="6">
        <v>0</v>
      </c>
      <c r="BD95" s="4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</row>
    <row r="96" spans="1:61" x14ac:dyDescent="0.3">
      <c r="A96" s="4">
        <v>92</v>
      </c>
      <c r="B96" s="5" t="s">
        <v>59</v>
      </c>
      <c r="C96" s="5" t="s">
        <v>253</v>
      </c>
      <c r="D96" s="5" t="s">
        <v>254</v>
      </c>
      <c r="E96" s="10" t="str">
        <f t="shared" si="1"/>
        <v>375-99999</v>
      </c>
      <c r="F96" s="5" t="s">
        <v>232</v>
      </c>
      <c r="G96" s="5" t="s">
        <v>233</v>
      </c>
      <c r="H96" s="5" t="s">
        <v>62</v>
      </c>
      <c r="I96" s="6">
        <v>0</v>
      </c>
      <c r="J96" s="6">
        <v>0</v>
      </c>
      <c r="K96" s="4" t="b">
        <v>0</v>
      </c>
      <c r="L96" s="4" t="b">
        <v>0</v>
      </c>
      <c r="M96" s="6">
        <v>0</v>
      </c>
      <c r="N96" s="6">
        <v>0</v>
      </c>
      <c r="O96" s="4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14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4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</row>
  </sheetData>
  <autoFilter ref="A4:BI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fajardo rodas</cp:lastModifiedBy>
  <dcterms:modified xsi:type="dcterms:W3CDTF">2025-10-19T12:43:49Z</dcterms:modified>
</cp:coreProperties>
</file>