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X530\Desktop\TFM-GIT\Origin_Files\"/>
    </mc:Choice>
  </mc:AlternateContent>
  <xr:revisionPtr revIDLastSave="0" documentId="13_ncr:1_{2BFF122B-AB57-485C-BF17-C283489B205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Obj 2025 T1" sheetId="2" r:id="rId1"/>
    <sheet name="Resumen Objetivos" sheetId="3" r:id="rId2"/>
  </sheets>
  <definedNames>
    <definedName name="_xlnm._FilterDatabase" localSheetId="1" hidden="1">'Resumen Objetivos'!$A$1:$G$14</definedName>
    <definedName name="_xlnm.Print_Area" localSheetId="0">'Obj 2025 T1'!$A$5:$P$105</definedName>
    <definedName name="_xlnm.Print_Titles" localSheetId="0">'Obj 2025 T1'!$1:$3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G8" i="3"/>
  <c r="G9" i="3"/>
  <c r="G10" i="3"/>
  <c r="G11" i="3"/>
  <c r="G12" i="3"/>
  <c r="G13" i="3"/>
  <c r="G14" i="3"/>
  <c r="G3" i="3"/>
  <c r="G4" i="3"/>
  <c r="G5" i="3"/>
  <c r="G6" i="3"/>
  <c r="G7" i="3"/>
  <c r="G2" i="3"/>
  <c r="H13" i="2" l="1"/>
  <c r="H48" i="2" l="1"/>
  <c r="I48" i="2"/>
  <c r="E48" i="2"/>
  <c r="D48" i="2"/>
  <c r="C48" i="2"/>
  <c r="B48" i="2"/>
  <c r="O37" i="2" l="1"/>
  <c r="N37" i="2"/>
  <c r="M37" i="2"/>
  <c r="K37" i="2"/>
  <c r="L37" i="2"/>
  <c r="F37" i="2"/>
  <c r="P37" i="2" l="1"/>
  <c r="J79" i="2"/>
  <c r="J80" i="2"/>
  <c r="J96" i="2"/>
  <c r="G91" i="2" l="1"/>
  <c r="G90" i="2"/>
  <c r="G89" i="2"/>
  <c r="G88" i="2"/>
  <c r="G74" i="2"/>
  <c r="G72" i="2"/>
  <c r="G70" i="2"/>
  <c r="G69" i="2"/>
  <c r="G67" i="2"/>
  <c r="G66" i="2"/>
  <c r="G65" i="2"/>
  <c r="G64" i="2"/>
  <c r="G63" i="2"/>
  <c r="G61" i="2"/>
  <c r="G60" i="2"/>
  <c r="G59" i="2"/>
  <c r="G58" i="2"/>
  <c r="G57" i="2"/>
  <c r="G8" i="2" l="1"/>
  <c r="J34" i="2" l="1"/>
  <c r="I34" i="2"/>
  <c r="H34" i="2"/>
  <c r="J86" i="2"/>
  <c r="I86" i="2"/>
  <c r="H86" i="2"/>
  <c r="G86" i="2"/>
  <c r="J87" i="2"/>
  <c r="I87" i="2"/>
  <c r="H87" i="2"/>
  <c r="G87" i="2"/>
  <c r="O47" i="2" l="1"/>
  <c r="D73" i="2"/>
  <c r="I101" i="2"/>
  <c r="I102" i="2" s="1"/>
  <c r="H101" i="2"/>
  <c r="H102" i="2" s="1"/>
  <c r="G101" i="2"/>
  <c r="G102" i="2" s="1"/>
  <c r="J93" i="2"/>
  <c r="O72" i="2"/>
  <c r="N72" i="2"/>
  <c r="N71" i="2" s="1"/>
  <c r="M72" i="2"/>
  <c r="M71" i="2" s="1"/>
  <c r="L72" i="2"/>
  <c r="L71" i="2" s="1"/>
  <c r="K72" i="2"/>
  <c r="F72" i="2"/>
  <c r="J71" i="2"/>
  <c r="I71" i="2"/>
  <c r="H71" i="2"/>
  <c r="G71" i="2"/>
  <c r="E71" i="2"/>
  <c r="D71" i="2"/>
  <c r="C71" i="2"/>
  <c r="B71" i="2"/>
  <c r="F71" i="2" l="1"/>
  <c r="K71" i="2"/>
  <c r="P72" i="2"/>
  <c r="O71" i="2"/>
  <c r="P71" i="2" s="1"/>
  <c r="O99" i="2" l="1"/>
  <c r="O98" i="2"/>
  <c r="O97" i="2"/>
  <c r="O96" i="2"/>
  <c r="O95" i="2"/>
  <c r="O82" i="2"/>
  <c r="O81" i="2"/>
  <c r="O80" i="2"/>
  <c r="O79" i="2"/>
  <c r="O78" i="2"/>
  <c r="O46" i="2"/>
  <c r="O45" i="2"/>
  <c r="O44" i="2"/>
  <c r="O43" i="2"/>
  <c r="O42" i="2"/>
  <c r="O26" i="2"/>
  <c r="J5" i="2"/>
  <c r="H5" i="2"/>
  <c r="G5" i="2"/>
  <c r="O91" i="2"/>
  <c r="N91" i="2"/>
  <c r="M91" i="2"/>
  <c r="L91" i="2"/>
  <c r="O90" i="2"/>
  <c r="N90" i="2"/>
  <c r="M90" i="2"/>
  <c r="L90" i="2"/>
  <c r="O89" i="2"/>
  <c r="N89" i="2"/>
  <c r="M89" i="2"/>
  <c r="L89" i="2"/>
  <c r="O88" i="2"/>
  <c r="N88" i="2"/>
  <c r="M88" i="2"/>
  <c r="L88" i="2"/>
  <c r="L101" i="2" l="1"/>
  <c r="M101" i="2"/>
  <c r="N101" i="2"/>
  <c r="K5" i="2"/>
  <c r="G20" i="2" l="1"/>
  <c r="G18" i="2"/>
  <c r="G19" i="2" l="1"/>
  <c r="G17" i="2"/>
  <c r="G7" i="2"/>
  <c r="G9" i="2"/>
  <c r="G16" i="2"/>
  <c r="G22" i="2"/>
  <c r="G12" i="2"/>
  <c r="G11" i="2"/>
  <c r="H35" i="2" l="1"/>
  <c r="I35" i="2"/>
  <c r="J35" i="2"/>
  <c r="G36" i="2"/>
  <c r="G35" i="2" l="1"/>
  <c r="G48" i="2"/>
  <c r="J40" i="2"/>
  <c r="J48" i="2" s="1"/>
  <c r="O39" i="2"/>
  <c r="L99" i="2"/>
  <c r="L98" i="2" s="1"/>
  <c r="N98" i="2"/>
  <c r="M98" i="2"/>
  <c r="L97" i="2"/>
  <c r="L96" i="2"/>
  <c r="L95" i="2"/>
  <c r="P91" i="2"/>
  <c r="P90" i="2"/>
  <c r="P89" i="2"/>
  <c r="P88" i="2"/>
  <c r="O87" i="2"/>
  <c r="O86" i="2" s="1"/>
  <c r="N87" i="2"/>
  <c r="N86" i="2" s="1"/>
  <c r="M87" i="2"/>
  <c r="M86" i="2" s="1"/>
  <c r="L87" i="2"/>
  <c r="L86" i="2" s="1"/>
  <c r="G95" i="2"/>
  <c r="G96" i="2"/>
  <c r="G97" i="2"/>
  <c r="H98" i="2"/>
  <c r="I98" i="2"/>
  <c r="G99" i="2"/>
  <c r="G98" i="2" s="1"/>
  <c r="O75" i="2"/>
  <c r="N75" i="2"/>
  <c r="M75" i="2"/>
  <c r="L75" i="2"/>
  <c r="O74" i="2"/>
  <c r="N74" i="2"/>
  <c r="N73" i="2" s="1"/>
  <c r="M74" i="2"/>
  <c r="M73" i="2" s="1"/>
  <c r="L74" i="2"/>
  <c r="L73" i="2" s="1"/>
  <c r="O70" i="2"/>
  <c r="N70" i="2"/>
  <c r="M70" i="2"/>
  <c r="L70" i="2"/>
  <c r="O69" i="2"/>
  <c r="N69" i="2"/>
  <c r="M69" i="2"/>
  <c r="L69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L82" i="2"/>
  <c r="L81" i="2" s="1"/>
  <c r="N81" i="2"/>
  <c r="M81" i="2"/>
  <c r="L80" i="2"/>
  <c r="L79" i="2"/>
  <c r="L78" i="2"/>
  <c r="G82" i="2"/>
  <c r="G81" i="2" s="1"/>
  <c r="I81" i="2"/>
  <c r="H81" i="2"/>
  <c r="G80" i="2"/>
  <c r="G79" i="2"/>
  <c r="G78" i="2"/>
  <c r="N39" i="2"/>
  <c r="M39" i="2"/>
  <c r="O38" i="2"/>
  <c r="N38" i="2"/>
  <c r="M38" i="2"/>
  <c r="L38" i="2"/>
  <c r="O36" i="2"/>
  <c r="N36" i="2"/>
  <c r="M36" i="2"/>
  <c r="L36" i="2"/>
  <c r="L46" i="2"/>
  <c r="L45" i="2" s="1"/>
  <c r="N45" i="2"/>
  <c r="M45" i="2"/>
  <c r="L44" i="2"/>
  <c r="L43" i="2"/>
  <c r="L42" i="2"/>
  <c r="G46" i="2"/>
  <c r="G45" i="2" s="1"/>
  <c r="I45" i="2"/>
  <c r="H45" i="2"/>
  <c r="G44" i="2"/>
  <c r="G43" i="2"/>
  <c r="G42" i="2"/>
  <c r="O29" i="2"/>
  <c r="O28" i="2"/>
  <c r="O27" i="2"/>
  <c r="O22" i="2"/>
  <c r="O21" i="2" s="1"/>
  <c r="N22" i="2"/>
  <c r="N21" i="2" s="1"/>
  <c r="M22" i="2"/>
  <c r="L22" i="2"/>
  <c r="L21" i="2" s="1"/>
  <c r="O20" i="2"/>
  <c r="N20" i="2"/>
  <c r="M20" i="2"/>
  <c r="L20" i="2"/>
  <c r="O19" i="2"/>
  <c r="N19" i="2"/>
  <c r="M19" i="2"/>
  <c r="O18" i="2"/>
  <c r="N18" i="2"/>
  <c r="M18" i="2"/>
  <c r="O17" i="2"/>
  <c r="N17" i="2"/>
  <c r="M17" i="2"/>
  <c r="O16" i="2"/>
  <c r="N16" i="2"/>
  <c r="M16" i="2"/>
  <c r="O14" i="2"/>
  <c r="N14" i="2"/>
  <c r="M14" i="2"/>
  <c r="O13" i="2"/>
  <c r="N13" i="2"/>
  <c r="M13" i="2"/>
  <c r="L13" i="2"/>
  <c r="O12" i="2"/>
  <c r="N12" i="2"/>
  <c r="M12" i="2"/>
  <c r="O11" i="2"/>
  <c r="N11" i="2"/>
  <c r="M11" i="2"/>
  <c r="O9" i="2"/>
  <c r="N9" i="2"/>
  <c r="M9" i="2"/>
  <c r="L9" i="2"/>
  <c r="O8" i="2"/>
  <c r="N8" i="2"/>
  <c r="M8" i="2"/>
  <c r="L8" i="2"/>
  <c r="O7" i="2"/>
  <c r="N7" i="2"/>
  <c r="M7" i="2"/>
  <c r="L7" i="2"/>
  <c r="L30" i="2"/>
  <c r="L29" i="2" s="1"/>
  <c r="N29" i="2"/>
  <c r="M29" i="2"/>
  <c r="L28" i="2"/>
  <c r="L27" i="2"/>
  <c r="L26" i="2"/>
  <c r="L25" i="2"/>
  <c r="L5" i="2"/>
  <c r="M5" i="2"/>
  <c r="I5" i="2"/>
  <c r="N5" i="2" s="1"/>
  <c r="O5" i="2"/>
  <c r="G6" i="2"/>
  <c r="H6" i="2"/>
  <c r="I6" i="2"/>
  <c r="J6" i="2"/>
  <c r="K8" i="2"/>
  <c r="K9" i="2"/>
  <c r="G10" i="2"/>
  <c r="H10" i="2"/>
  <c r="I10" i="2"/>
  <c r="J10" i="2"/>
  <c r="K11" i="2"/>
  <c r="G30" i="2"/>
  <c r="G29" i="2" s="1"/>
  <c r="I29" i="2"/>
  <c r="H29" i="2"/>
  <c r="G28" i="2"/>
  <c r="G27" i="2"/>
  <c r="G26" i="2"/>
  <c r="G25" i="2"/>
  <c r="F34" i="2"/>
  <c r="N34" i="2"/>
  <c r="O34" i="2"/>
  <c r="E40" i="2"/>
  <c r="F36" i="2"/>
  <c r="K36" i="2"/>
  <c r="F38" i="2"/>
  <c r="K38" i="2"/>
  <c r="B39" i="2"/>
  <c r="N68" i="2" l="1"/>
  <c r="P5" i="2"/>
  <c r="P86" i="2"/>
  <c r="L68" i="2"/>
  <c r="O93" i="2"/>
  <c r="P93" i="2" s="1"/>
  <c r="E41" i="2"/>
  <c r="F44" i="2"/>
  <c r="F42" i="2"/>
  <c r="F43" i="2"/>
  <c r="F45" i="2"/>
  <c r="F46" i="2"/>
  <c r="O94" i="2"/>
  <c r="P97" i="2"/>
  <c r="P96" i="2"/>
  <c r="P98" i="2"/>
  <c r="P95" i="2"/>
  <c r="P99" i="2"/>
  <c r="P18" i="2"/>
  <c r="P60" i="2"/>
  <c r="P58" i="2"/>
  <c r="O62" i="2"/>
  <c r="P66" i="2"/>
  <c r="P64" i="2"/>
  <c r="P22" i="2"/>
  <c r="P67" i="2"/>
  <c r="P11" i="2"/>
  <c r="M62" i="2"/>
  <c r="M68" i="2"/>
  <c r="P70" i="2"/>
  <c r="L6" i="2"/>
  <c r="P63" i="2"/>
  <c r="O56" i="2"/>
  <c r="P69" i="2"/>
  <c r="P16" i="2"/>
  <c r="L39" i="2"/>
  <c r="L35" i="2" s="1"/>
  <c r="M48" i="2"/>
  <c r="P74" i="2"/>
  <c r="O35" i="2"/>
  <c r="O40" i="2" s="1"/>
  <c r="P12" i="2"/>
  <c r="N62" i="2"/>
  <c r="L102" i="2"/>
  <c r="P100" i="2"/>
  <c r="M102" i="2"/>
  <c r="N102" i="2"/>
  <c r="P87" i="2"/>
  <c r="P38" i="2"/>
  <c r="P57" i="2"/>
  <c r="O68" i="2"/>
  <c r="P59" i="2"/>
  <c r="M56" i="2"/>
  <c r="P65" i="2"/>
  <c r="P36" i="2"/>
  <c r="O73" i="2"/>
  <c r="P73" i="2" s="1"/>
  <c r="N56" i="2"/>
  <c r="L62" i="2"/>
  <c r="P61" i="2"/>
  <c r="L56" i="2"/>
  <c r="K34" i="2"/>
  <c r="P9" i="2"/>
  <c r="N6" i="2"/>
  <c r="N35" i="2"/>
  <c r="N15" i="2"/>
  <c r="M21" i="2"/>
  <c r="M35" i="2"/>
  <c r="N10" i="2"/>
  <c r="M34" i="2"/>
  <c r="P14" i="2"/>
  <c r="O48" i="2"/>
  <c r="P8" i="2"/>
  <c r="P13" i="2"/>
  <c r="P20" i="2"/>
  <c r="O15" i="2"/>
  <c r="M10" i="2"/>
  <c r="P17" i="2"/>
  <c r="L48" i="2"/>
  <c r="N48" i="2"/>
  <c r="N49" i="2" s="1"/>
  <c r="O6" i="2"/>
  <c r="M6" i="2"/>
  <c r="P7" i="2"/>
  <c r="K6" i="2"/>
  <c r="P19" i="2"/>
  <c r="K10" i="2"/>
  <c r="M15" i="2"/>
  <c r="O10" i="2"/>
  <c r="K35" i="2"/>
  <c r="F35" i="2"/>
  <c r="F41" i="2" l="1"/>
  <c r="P94" i="2"/>
  <c r="O101" i="2"/>
  <c r="P47" i="2"/>
  <c r="P42" i="2"/>
  <c r="P45" i="2"/>
  <c r="P44" i="2"/>
  <c r="P46" i="2"/>
  <c r="P43" i="2"/>
  <c r="P62" i="2"/>
  <c r="L83" i="2"/>
  <c r="L103" i="2" s="1"/>
  <c r="P68" i="2"/>
  <c r="M83" i="2"/>
  <c r="M103" i="2" s="1"/>
  <c r="P35" i="2"/>
  <c r="P40" i="2"/>
  <c r="P48" i="2"/>
  <c r="N83" i="2"/>
  <c r="N103" i="2" s="1"/>
  <c r="O76" i="2"/>
  <c r="P15" i="2"/>
  <c r="O32" i="2"/>
  <c r="O51" i="2" s="1"/>
  <c r="P56" i="2"/>
  <c r="P34" i="2"/>
  <c r="O41" i="2"/>
  <c r="P41" i="2" s="1"/>
  <c r="P21" i="2"/>
  <c r="N32" i="2"/>
  <c r="O49" i="2"/>
  <c r="M49" i="2"/>
  <c r="P6" i="2"/>
  <c r="P10" i="2"/>
  <c r="O24" i="2"/>
  <c r="M32" i="2"/>
  <c r="O102" i="2" l="1"/>
  <c r="P101" i="2"/>
  <c r="P76" i="2"/>
  <c r="O77" i="2"/>
  <c r="P77" i="2" s="1"/>
  <c r="P80" i="2"/>
  <c r="P81" i="2"/>
  <c r="P82" i="2"/>
  <c r="P79" i="2"/>
  <c r="P78" i="2"/>
  <c r="M51" i="2"/>
  <c r="M106" i="2" s="1"/>
  <c r="P26" i="2"/>
  <c r="P27" i="2"/>
  <c r="P28" i="2"/>
  <c r="P29" i="2"/>
  <c r="P30" i="2"/>
  <c r="O33" i="2"/>
  <c r="N33" i="2"/>
  <c r="N51" i="2"/>
  <c r="N106" i="2" s="1"/>
  <c r="P24" i="2"/>
  <c r="P32" i="2"/>
  <c r="M33" i="2"/>
  <c r="P51" i="2" l="1"/>
  <c r="O83" i="2"/>
  <c r="J55" i="2"/>
  <c r="O55" i="2" s="1"/>
  <c r="K91" i="2"/>
  <c r="K90" i="2"/>
  <c r="K89" i="2"/>
  <c r="K88" i="2"/>
  <c r="K86" i="2"/>
  <c r="K74" i="2"/>
  <c r="J73" i="2"/>
  <c r="I73" i="2"/>
  <c r="H73" i="2"/>
  <c r="G73" i="2"/>
  <c r="K70" i="2"/>
  <c r="K69" i="2"/>
  <c r="J68" i="2"/>
  <c r="I68" i="2"/>
  <c r="H68" i="2"/>
  <c r="G68" i="2"/>
  <c r="K67" i="2"/>
  <c r="K66" i="2"/>
  <c r="K65" i="2"/>
  <c r="K64" i="2"/>
  <c r="K63" i="2"/>
  <c r="J62" i="2"/>
  <c r="I62" i="2"/>
  <c r="H62" i="2"/>
  <c r="G62" i="2"/>
  <c r="K61" i="2"/>
  <c r="K60" i="2"/>
  <c r="K59" i="2"/>
  <c r="K58" i="2"/>
  <c r="K57" i="2"/>
  <c r="J56" i="2"/>
  <c r="I56" i="2"/>
  <c r="H56" i="2"/>
  <c r="G56" i="2"/>
  <c r="I49" i="2"/>
  <c r="G83" i="2" l="1"/>
  <c r="G103" i="2" s="1"/>
  <c r="P83" i="2"/>
  <c r="O84" i="2"/>
  <c r="O103" i="2"/>
  <c r="H83" i="2"/>
  <c r="K42" i="2"/>
  <c r="K41" i="2"/>
  <c r="I83" i="2"/>
  <c r="I103" i="2" s="1"/>
  <c r="J76" i="2"/>
  <c r="J83" i="2" s="1"/>
  <c r="J101" i="2"/>
  <c r="J102" i="2" s="1"/>
  <c r="K98" i="2"/>
  <c r="K99" i="2"/>
  <c r="K97" i="2"/>
  <c r="K96" i="2"/>
  <c r="K95" i="2"/>
  <c r="K43" i="2"/>
  <c r="K44" i="2"/>
  <c r="K45" i="2"/>
  <c r="K46" i="2"/>
  <c r="K47" i="2"/>
  <c r="K93" i="2"/>
  <c r="H49" i="2"/>
  <c r="K40" i="2"/>
  <c r="K73" i="2"/>
  <c r="J49" i="2"/>
  <c r="K68" i="2"/>
  <c r="K62" i="2"/>
  <c r="K100" i="2"/>
  <c r="K56" i="2"/>
  <c r="K48" i="2"/>
  <c r="K22" i="2"/>
  <c r="J21" i="2"/>
  <c r="I21" i="2"/>
  <c r="H21" i="2"/>
  <c r="G21" i="2"/>
  <c r="K20" i="2"/>
  <c r="K19" i="2"/>
  <c r="K18" i="2"/>
  <c r="K17" i="2"/>
  <c r="K16" i="2"/>
  <c r="J15" i="2"/>
  <c r="I15" i="2"/>
  <c r="H15" i="2"/>
  <c r="K14" i="2"/>
  <c r="K13" i="2"/>
  <c r="K12" i="2"/>
  <c r="F91" i="2"/>
  <c r="F90" i="2"/>
  <c r="F89" i="2"/>
  <c r="F88" i="2"/>
  <c r="E87" i="2"/>
  <c r="D87" i="2"/>
  <c r="C87" i="2"/>
  <c r="B87" i="2"/>
  <c r="F86" i="2"/>
  <c r="F74" i="2"/>
  <c r="E73" i="2"/>
  <c r="C73" i="2"/>
  <c r="B73" i="2"/>
  <c r="F70" i="2"/>
  <c r="F69" i="2"/>
  <c r="D68" i="2"/>
  <c r="C68" i="2"/>
  <c r="B68" i="2"/>
  <c r="F67" i="2"/>
  <c r="F66" i="2"/>
  <c r="F65" i="2"/>
  <c r="F64" i="2"/>
  <c r="F63" i="2"/>
  <c r="E62" i="2"/>
  <c r="D62" i="2"/>
  <c r="C62" i="2"/>
  <c r="B62" i="2"/>
  <c r="F61" i="2"/>
  <c r="F60" i="2"/>
  <c r="F59" i="2"/>
  <c r="F58" i="2"/>
  <c r="F57" i="2"/>
  <c r="E56" i="2"/>
  <c r="D56" i="2"/>
  <c r="C56" i="2"/>
  <c r="B56" i="2"/>
  <c r="E54" i="2"/>
  <c r="J54" i="2" s="1"/>
  <c r="D49" i="2"/>
  <c r="B34" i="2"/>
  <c r="G34" i="2" s="1"/>
  <c r="F22" i="2"/>
  <c r="E21" i="2"/>
  <c r="D21" i="2"/>
  <c r="C21" i="2"/>
  <c r="E49" i="2" s="1"/>
  <c r="B21" i="2"/>
  <c r="F20" i="2"/>
  <c r="F19" i="2"/>
  <c r="B19" i="2"/>
  <c r="L19" i="2" s="1"/>
  <c r="F18" i="2"/>
  <c r="B18" i="2"/>
  <c r="L18" i="2" s="1"/>
  <c r="F17" i="2"/>
  <c r="B17" i="2"/>
  <c r="L17" i="2" s="1"/>
  <c r="F16" i="2"/>
  <c r="B16" i="2"/>
  <c r="L16" i="2" s="1"/>
  <c r="E15" i="2"/>
  <c r="D15" i="2"/>
  <c r="C15" i="2"/>
  <c r="F14" i="2"/>
  <c r="B14" i="2"/>
  <c r="L14" i="2" s="1"/>
  <c r="F13" i="2"/>
  <c r="F12" i="2"/>
  <c r="B12" i="2"/>
  <c r="L12" i="2" s="1"/>
  <c r="F11" i="2"/>
  <c r="B11" i="2"/>
  <c r="L11" i="2" s="1"/>
  <c r="E10" i="2"/>
  <c r="D10" i="2"/>
  <c r="C10" i="2"/>
  <c r="F9" i="2"/>
  <c r="F8" i="2"/>
  <c r="F7" i="2"/>
  <c r="E6" i="2"/>
  <c r="D6" i="2"/>
  <c r="C6" i="2"/>
  <c r="B6" i="2"/>
  <c r="F5" i="2"/>
  <c r="E4" i="2"/>
  <c r="D4" i="2"/>
  <c r="C4" i="2"/>
  <c r="J24" i="2" l="1"/>
  <c r="O106" i="2"/>
  <c r="P106" i="2" s="1"/>
  <c r="P103" i="2"/>
  <c r="C83" i="2"/>
  <c r="D83" i="2"/>
  <c r="D84" i="2" s="1"/>
  <c r="B83" i="2"/>
  <c r="B84" i="2" s="1"/>
  <c r="G49" i="2"/>
  <c r="B4" i="2"/>
  <c r="E76" i="2"/>
  <c r="B101" i="2"/>
  <c r="B102" i="2" s="1"/>
  <c r="K87" i="2"/>
  <c r="E93" i="2"/>
  <c r="K80" i="2"/>
  <c r="K81" i="2"/>
  <c r="K78" i="2"/>
  <c r="K82" i="2"/>
  <c r="K79" i="2"/>
  <c r="K77" i="2"/>
  <c r="K94" i="2"/>
  <c r="K76" i="2"/>
  <c r="H103" i="2"/>
  <c r="F15" i="2"/>
  <c r="L34" i="2"/>
  <c r="L49" i="2" s="1"/>
  <c r="H4" i="2"/>
  <c r="M4" i="2" s="1"/>
  <c r="M52" i="2" s="1"/>
  <c r="L15" i="2"/>
  <c r="I4" i="2"/>
  <c r="N4" i="2" s="1"/>
  <c r="N52" i="2" s="1"/>
  <c r="E105" i="2"/>
  <c r="J4" i="2"/>
  <c r="L10" i="2"/>
  <c r="F21" i="2"/>
  <c r="F73" i="2"/>
  <c r="F62" i="2"/>
  <c r="H32" i="2"/>
  <c r="D101" i="2"/>
  <c r="D102" i="2" s="1"/>
  <c r="I32" i="2"/>
  <c r="B10" i="2"/>
  <c r="B15" i="2"/>
  <c r="F87" i="2"/>
  <c r="C101" i="2"/>
  <c r="C32" i="2"/>
  <c r="D32" i="2"/>
  <c r="D33" i="2" s="1"/>
  <c r="F10" i="2"/>
  <c r="F68" i="2"/>
  <c r="C49" i="2"/>
  <c r="F40" i="2"/>
  <c r="K15" i="2"/>
  <c r="G15" i="2"/>
  <c r="G32" i="2" s="1"/>
  <c r="G51" i="2" s="1"/>
  <c r="G106" i="2" s="1"/>
  <c r="K21" i="2"/>
  <c r="F48" i="2"/>
  <c r="F56" i="2"/>
  <c r="F4" i="2"/>
  <c r="B49" i="2"/>
  <c r="E24" i="2"/>
  <c r="F6" i="2"/>
  <c r="G55" i="2" l="1"/>
  <c r="B54" i="2"/>
  <c r="K29" i="2"/>
  <c r="K27" i="2"/>
  <c r="K25" i="2"/>
  <c r="K30" i="2"/>
  <c r="K28" i="2"/>
  <c r="I55" i="2"/>
  <c r="D54" i="2"/>
  <c r="F96" i="2"/>
  <c r="F98" i="2"/>
  <c r="F99" i="2"/>
  <c r="F97" i="2"/>
  <c r="F95" i="2"/>
  <c r="H55" i="2"/>
  <c r="F55" i="2"/>
  <c r="C54" i="2"/>
  <c r="H54" i="2" s="1"/>
  <c r="F47" i="2"/>
  <c r="F27" i="2"/>
  <c r="F29" i="2"/>
  <c r="F30" i="2"/>
  <c r="F26" i="2"/>
  <c r="F28" i="2"/>
  <c r="E25" i="2"/>
  <c r="K83" i="2"/>
  <c r="J84" i="2"/>
  <c r="J103" i="2"/>
  <c r="K103" i="2" s="1"/>
  <c r="F78" i="2"/>
  <c r="F79" i="2"/>
  <c r="F82" i="2"/>
  <c r="F81" i="2"/>
  <c r="F80" i="2"/>
  <c r="K101" i="2"/>
  <c r="O4" i="2"/>
  <c r="O52" i="2" s="1"/>
  <c r="J105" i="2"/>
  <c r="K24" i="2"/>
  <c r="K31" i="2"/>
  <c r="K26" i="2"/>
  <c r="B103" i="2"/>
  <c r="B104" i="2" s="1"/>
  <c r="F100" i="2"/>
  <c r="E94" i="2"/>
  <c r="E101" i="2" s="1"/>
  <c r="C84" i="2"/>
  <c r="E77" i="2"/>
  <c r="E83" i="2" s="1"/>
  <c r="C102" i="2"/>
  <c r="B32" i="2"/>
  <c r="B33" i="2" s="1"/>
  <c r="F76" i="2"/>
  <c r="H33" i="2"/>
  <c r="L32" i="2"/>
  <c r="G4" i="2"/>
  <c r="K4" i="2"/>
  <c r="C103" i="2"/>
  <c r="C104" i="2" s="1"/>
  <c r="D51" i="2"/>
  <c r="D52" i="2" s="1"/>
  <c r="H51" i="2"/>
  <c r="D103" i="2"/>
  <c r="D104" i="2" s="1"/>
  <c r="C33" i="2"/>
  <c r="F31" i="2"/>
  <c r="I33" i="2"/>
  <c r="I51" i="2"/>
  <c r="F93" i="2"/>
  <c r="C51" i="2"/>
  <c r="F24" i="2"/>
  <c r="O54" i="2"/>
  <c r="P4" i="2" l="1"/>
  <c r="D105" i="2"/>
  <c r="I54" i="2"/>
  <c r="G54" i="2"/>
  <c r="G104" i="2" s="1"/>
  <c r="B105" i="2"/>
  <c r="G84" i="2"/>
  <c r="L55" i="2"/>
  <c r="M55" i="2"/>
  <c r="K55" i="2"/>
  <c r="H84" i="2"/>
  <c r="N55" i="2"/>
  <c r="I84" i="2"/>
  <c r="F25" i="2"/>
  <c r="O25" i="2"/>
  <c r="P25" i="2" s="1"/>
  <c r="F94" i="2"/>
  <c r="C105" i="2"/>
  <c r="F105" i="2" s="1"/>
  <c r="F54" i="2"/>
  <c r="J104" i="2"/>
  <c r="F77" i="2"/>
  <c r="L4" i="2"/>
  <c r="J32" i="2"/>
  <c r="O105" i="2"/>
  <c r="O104" i="2"/>
  <c r="L33" i="2"/>
  <c r="L51" i="2"/>
  <c r="B51" i="2"/>
  <c r="B52" i="2" s="1"/>
  <c r="E32" i="2"/>
  <c r="D106" i="2"/>
  <c r="H106" i="2"/>
  <c r="H52" i="2"/>
  <c r="G33" i="2"/>
  <c r="I52" i="2"/>
  <c r="I106" i="2"/>
  <c r="C52" i="2"/>
  <c r="C106" i="2"/>
  <c r="G105" i="2" l="1"/>
  <c r="G107" i="2" s="1"/>
  <c r="D107" i="2"/>
  <c r="L84" i="2"/>
  <c r="L54" i="2"/>
  <c r="L104" i="2" s="1"/>
  <c r="N84" i="2"/>
  <c r="N54" i="2"/>
  <c r="I104" i="2"/>
  <c r="I105" i="2"/>
  <c r="I107" i="2" s="1"/>
  <c r="C107" i="2"/>
  <c r="E102" i="2"/>
  <c r="F101" i="2"/>
  <c r="K54" i="2"/>
  <c r="H104" i="2"/>
  <c r="H105" i="2"/>
  <c r="M84" i="2"/>
  <c r="M54" i="2"/>
  <c r="P55" i="2"/>
  <c r="F83" i="2"/>
  <c r="E84" i="2"/>
  <c r="E103" i="2"/>
  <c r="J33" i="2"/>
  <c r="J51" i="2"/>
  <c r="K32" i="2"/>
  <c r="L52" i="2"/>
  <c r="L106" i="2"/>
  <c r="B106" i="2"/>
  <c r="B107" i="2" s="1"/>
  <c r="E51" i="2"/>
  <c r="F32" i="2"/>
  <c r="E33" i="2"/>
  <c r="G52" i="2"/>
  <c r="L105" i="2" l="1"/>
  <c r="K105" i="2"/>
  <c r="H107" i="2"/>
  <c r="M104" i="2"/>
  <c r="M105" i="2"/>
  <c r="P105" i="2" s="1"/>
  <c r="P54" i="2"/>
  <c r="N105" i="2"/>
  <c r="N104" i="2"/>
  <c r="F103" i="2"/>
  <c r="E104" i="2"/>
  <c r="J106" i="2"/>
  <c r="K51" i="2"/>
  <c r="J52" i="2"/>
  <c r="E52" i="2"/>
  <c r="F51" i="2"/>
  <c r="E106" i="2"/>
  <c r="K106" i="2" l="1"/>
  <c r="J107" i="2"/>
  <c r="F106" i="2"/>
  <c r="E10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Lopez Leal</author>
  </authors>
  <commentList>
    <comment ref="C5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ALINEADOS CON EL 2023</t>
        </r>
      </text>
    </comment>
    <comment ref="H5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ALINEADOS CON EL 2023</t>
        </r>
      </text>
    </comment>
    <comment ref="M5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ALINEADOS CON EL 2023</t>
        </r>
      </text>
    </comment>
    <comment ref="C8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SE AUMRNTA EN 1000 POR INTERNALIZACION EVOLUTIO</t>
        </r>
      </text>
    </comment>
    <comment ref="H8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SE AUMRNTA EN 1000 POR INTERNALIZACION EVOLUTIO</t>
        </r>
      </text>
    </comment>
    <comment ref="M8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Monica Lopez Leal:</t>
        </r>
        <r>
          <rPr>
            <sz val="9"/>
            <color indexed="81"/>
            <rFont val="Tahoma"/>
            <family val="2"/>
          </rPr>
          <t xml:space="preserve">
SE AUMRNTA EN 1000 POR INTERNALIZACION EVOLUTIO</t>
        </r>
      </text>
    </comment>
  </commentList>
</comments>
</file>

<file path=xl/sharedStrings.xml><?xml version="1.0" encoding="utf-8"?>
<sst xmlns="http://schemas.openxmlformats.org/spreadsheetml/2006/main" count="150" uniqueCount="87">
  <si>
    <t>PROYECTOS</t>
  </si>
  <si>
    <t>%</t>
  </si>
  <si>
    <t>VODAFONE</t>
  </si>
  <si>
    <t>ORANGE</t>
  </si>
  <si>
    <t xml:space="preserve">ORANGE </t>
  </si>
  <si>
    <t>Ip</t>
  </si>
  <si>
    <t>PROD.</t>
  </si>
  <si>
    <t>FACT.</t>
  </si>
  <si>
    <t>APORT.</t>
  </si>
  <si>
    <t>CONT.</t>
  </si>
  <si>
    <t>MES</t>
  </si>
  <si>
    <t>DIFERENCIA (PREV.-CIERRE)</t>
  </si>
  <si>
    <t>SOPORTE APLICACIONES</t>
  </si>
  <si>
    <t>NETWORK DATA MANAGER</t>
  </si>
  <si>
    <t>VIABILIDADES</t>
  </si>
  <si>
    <t>SGE</t>
  </si>
  <si>
    <t>MASMOVIL</t>
  </si>
  <si>
    <t>SSPP INGENIERIA</t>
  </si>
  <si>
    <t>LYNTIA</t>
  </si>
  <si>
    <t>PSAF-DESVIOS ORANGE</t>
  </si>
  <si>
    <t>VODAFONE INGENIERÍA  FIJA</t>
  </si>
  <si>
    <t>VODAFONE ASISTENCIA TÉCNICA</t>
  </si>
  <si>
    <t>SOPORTE VARIOS SSPP</t>
  </si>
  <si>
    <t>VDF AT CENTRO</t>
  </si>
  <si>
    <t>VDF AT NORDESTE</t>
  </si>
  <si>
    <t>VDF AT ESTE</t>
  </si>
  <si>
    <t>VDF AT SUR</t>
  </si>
  <si>
    <t>VDF AT NORTE</t>
  </si>
  <si>
    <t>OFICINA TECNICA TX (JUMPING/5G)</t>
  </si>
  <si>
    <t>REDE ABERTA</t>
  </si>
  <si>
    <t>SERVICIOS INGENIERIA</t>
  </si>
  <si>
    <t>INGENIERIA OTROS CLIENTES</t>
  </si>
  <si>
    <t xml:space="preserve">DISEÑO FTTH </t>
  </si>
  <si>
    <t>CONSERVACION EFICIENCIA</t>
  </si>
  <si>
    <t>494 INGENIERIA PLANTA EXTERNA- OBJETIVOS</t>
  </si>
  <si>
    <t>CT 375 NACIONAL - OBJETIVOS</t>
  </si>
  <si>
    <t>CONSERVACION/ AMPLIACIONES</t>
  </si>
  <si>
    <t>DESPLIEGUE PEBA UNICO 2024-2025</t>
  </si>
  <si>
    <t>CGM PROYECTO FARO TELEFONICA</t>
  </si>
  <si>
    <t>NASERTIC</t>
  </si>
  <si>
    <t>XENET</t>
  </si>
  <si>
    <t>OTROS</t>
  </si>
  <si>
    <t xml:space="preserve">CT 375 NACIONAL </t>
  </si>
  <si>
    <t>CT 495 INTERNACIONAL - OBJETIVOS</t>
  </si>
  <si>
    <t>IQA- CITYFIBRE</t>
  </si>
  <si>
    <t>INGENIERIA - HAMPSHIRE</t>
  </si>
  <si>
    <t xml:space="preserve">CT 495 INTERNACIONAL </t>
  </si>
  <si>
    <t>494 INGENIERIA PLANTA EXTERNA/IP</t>
  </si>
  <si>
    <t>448 OFICINA GESTION DE PROYECTOS-OBJETIVOS</t>
  </si>
  <si>
    <t>CT 581 PMO VODAFONE - OBJETIVOS</t>
  </si>
  <si>
    <t>VODAFONE PMO</t>
  </si>
  <si>
    <t>RE: PMO + INGENIERIA 2E2</t>
  </si>
  <si>
    <t>DESVIOS AFECCIONES TERCEROS</t>
  </si>
  <si>
    <t xml:space="preserve">CT 581 PMO VODAFONE </t>
  </si>
  <si>
    <t>CT 449 PMO LYNTIA - OBJETIVOS</t>
  </si>
  <si>
    <t>INGENIERIA DE CLIENTE</t>
  </si>
  <si>
    <t>INTERNALIZACION EVOLUTIO/ LYNTIA</t>
  </si>
  <si>
    <t>PLANIFICACION DE RED</t>
  </si>
  <si>
    <t>PROYECTOS ESTRATÉGICOS</t>
  </si>
  <si>
    <t xml:space="preserve">CT 449 PMO LYNTIA </t>
  </si>
  <si>
    <t>448 OFICINA GESTION DE PROYECTOS/IP</t>
  </si>
  <si>
    <t>OBJETIVO DELEGACIÓN INGENIERIA TELECOMUNICACIONES</t>
  </si>
  <si>
    <t>TOTAL DELEGACIÓN INGENIERIA DE TELECOUNICACIONES</t>
  </si>
  <si>
    <t xml:space="preserve">Ip </t>
  </si>
  <si>
    <t>MARGEN TAJO</t>
  </si>
  <si>
    <t>Desviaciones actividad</t>
  </si>
  <si>
    <t>Desviaciones mano de obra</t>
  </si>
  <si>
    <t>Otras desviaciones</t>
  </si>
  <si>
    <t>% DG + SG + DN</t>
  </si>
  <si>
    <t>Prov. Pdas. OBRAS</t>
  </si>
  <si>
    <t>Rdos Extraordinarios</t>
  </si>
  <si>
    <t>DESVIACIONES UTEs</t>
  </si>
  <si>
    <t>AUDITORÍA/ COSULTORÍA</t>
  </si>
  <si>
    <t xml:space="preserve">7 PLAY </t>
  </si>
  <si>
    <t>INGENIERIA - INFILL</t>
  </si>
  <si>
    <t>INGENIERIA - SUSSEX/KESSINGLAND/BECCLES</t>
  </si>
  <si>
    <t>PROYECTO</t>
  </si>
  <si>
    <t>SUBPROYECTO</t>
  </si>
  <si>
    <t>Prev Contratación</t>
  </si>
  <si>
    <t xml:space="preserve">Prev Producción </t>
  </si>
  <si>
    <t>Prev Facturación</t>
  </si>
  <si>
    <t>Prev Aportación</t>
  </si>
  <si>
    <t>Prev % Aportación</t>
  </si>
  <si>
    <t>TELECOMUNICACIONES INGENIERIA - PREV. 2025</t>
  </si>
  <si>
    <t>CIERRE ACUM.MAYO 2025</t>
  </si>
  <si>
    <t>DISEÑO FTTH REDE ABERTA</t>
  </si>
  <si>
    <t>PREVISIÓN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</si>
</sst>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_ ;[Red]\-#,##0.00\ "/>
    <numFmt numFmtId="166" formatCode="0.0%"/>
  </numFmts>
  <fonts count="36" x14ac:knownFonts="1"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002060"/>
      <name val="Verdana"/>
      <family val="2"/>
    </font>
    <font>
      <b/>
      <sz val="16"/>
      <color rgb="FF002060"/>
      <name val="Verdana"/>
      <family val="2"/>
    </font>
    <font>
      <sz val="16"/>
      <color rgb="FF002060"/>
      <name val="Verdana"/>
      <family val="2"/>
    </font>
    <font>
      <sz val="16"/>
      <color theme="1"/>
      <name val="Verdana"/>
      <family val="2"/>
    </font>
    <font>
      <b/>
      <sz val="20"/>
      <color theme="0"/>
      <name val="Verdana"/>
      <family val="2"/>
    </font>
    <font>
      <sz val="20"/>
      <color theme="1"/>
      <name val="Verdana"/>
      <family val="2"/>
    </font>
    <font>
      <sz val="16"/>
      <color rgb="FF00B050"/>
      <name val="Verdana"/>
      <family val="2"/>
    </font>
    <font>
      <i/>
      <sz val="16"/>
      <color rgb="FF002060"/>
      <name val="Verdana"/>
      <family val="2"/>
    </font>
    <font>
      <b/>
      <i/>
      <sz val="11"/>
      <color rgb="FF002060"/>
      <name val="Verdana"/>
      <family val="2"/>
    </font>
    <font>
      <i/>
      <sz val="11"/>
      <color theme="1"/>
      <name val="Verdana"/>
      <family val="2"/>
    </font>
    <font>
      <b/>
      <sz val="36"/>
      <color rgb="FF002060"/>
      <name val="Verdana"/>
      <family val="2"/>
    </font>
    <font>
      <b/>
      <sz val="22"/>
      <color rgb="FF002060"/>
      <name val="Verdana"/>
      <family val="2"/>
    </font>
    <font>
      <b/>
      <sz val="28"/>
      <color theme="0"/>
      <name val="Verdana"/>
      <family val="2"/>
    </font>
    <font>
      <b/>
      <sz val="9"/>
      <color indexed="81"/>
      <name val="Tahoma"/>
      <family val="2"/>
    </font>
    <font>
      <sz val="16"/>
      <color theme="0"/>
      <name val="Verdana"/>
      <family val="2"/>
    </font>
    <font>
      <b/>
      <i/>
      <sz val="16"/>
      <color rgb="FF002060"/>
      <name val="Segoe UI"/>
      <family val="2"/>
    </font>
    <font>
      <b/>
      <sz val="16"/>
      <color rgb="FF002060"/>
      <name val="Segoe UI"/>
      <family val="2"/>
    </font>
    <font>
      <sz val="16"/>
      <color rgb="FF002060"/>
      <name val="Segoe UI"/>
      <family val="2"/>
    </font>
    <font>
      <b/>
      <u/>
      <sz val="16"/>
      <color rgb="FF002060"/>
      <name val="Segoe UI"/>
      <family val="2"/>
    </font>
    <font>
      <i/>
      <sz val="16"/>
      <color theme="9" tint="-0.249977111117893"/>
      <name val="Segoe UI"/>
      <family val="2"/>
    </font>
    <font>
      <b/>
      <sz val="16"/>
      <color theme="9" tint="-0.249977111117893"/>
      <name val="Segoe UI"/>
      <family val="2"/>
    </font>
    <font>
      <sz val="16"/>
      <color theme="9" tint="-0.249977111117893"/>
      <name val="Segoe UI"/>
      <family val="2"/>
    </font>
    <font>
      <b/>
      <sz val="16"/>
      <color theme="0"/>
      <name val="Segoe UI"/>
      <family val="2"/>
    </font>
    <font>
      <sz val="9"/>
      <color indexed="81"/>
      <name val="Tahoma"/>
      <family val="2"/>
    </font>
    <font>
      <b/>
      <i/>
      <u/>
      <sz val="16"/>
      <color rgb="FF002060"/>
      <name val="Verdana"/>
      <family val="2"/>
    </font>
    <font>
      <i/>
      <sz val="11"/>
      <color rgb="FF002060"/>
      <name val="Verdana"/>
      <family val="2"/>
    </font>
    <font>
      <b/>
      <i/>
      <sz val="11"/>
      <color theme="1"/>
      <name val="Verdana"/>
      <family val="2"/>
    </font>
    <font>
      <b/>
      <i/>
      <sz val="16"/>
      <name val="Segoe UI"/>
      <family val="2"/>
    </font>
    <font>
      <b/>
      <sz val="16"/>
      <name val="Segoe UI"/>
      <family val="2"/>
    </font>
    <font>
      <sz val="16"/>
      <name val="Segoe UI"/>
      <family val="2"/>
    </font>
    <font>
      <b/>
      <u/>
      <sz val="16"/>
      <name val="Segoe UI"/>
      <family val="2"/>
    </font>
    <font>
      <b/>
      <sz val="16"/>
      <name val="Verdana"/>
      <family val="2"/>
    </font>
    <font>
      <sz val="16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206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206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200">
    <xf numFmtId="0" fontId="0" fillId="0" borderId="0" xfId="0"/>
    <xf numFmtId="0" fontId="3" fillId="0" borderId="0" xfId="0" applyFont="1" applyAlignment="1">
      <alignment vertical="center"/>
    </xf>
    <xf numFmtId="4" fontId="5" fillId="0" borderId="0" xfId="1" quotePrefix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3" borderId="0" xfId="0" applyFill="1"/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" fontId="5" fillId="0" borderId="11" xfId="1" quotePrefix="1" applyNumberFormat="1" applyFont="1" applyFill="1" applyBorder="1" applyAlignment="1" applyProtection="1">
      <alignment horizontal="center" vertical="center" wrapText="1"/>
    </xf>
    <xf numFmtId="4" fontId="5" fillId="0" borderId="9" xfId="1" quotePrefix="1" applyNumberFormat="1" applyFont="1" applyFill="1" applyBorder="1" applyAlignment="1" applyProtection="1">
      <alignment horizontal="center" vertical="center" wrapText="1"/>
    </xf>
    <xf numFmtId="4" fontId="5" fillId="0" borderId="14" xfId="1" quotePrefix="1" applyNumberFormat="1" applyFont="1" applyFill="1" applyBorder="1" applyAlignment="1" applyProtection="1">
      <alignment horizontal="center" vertical="center" wrapText="1"/>
    </xf>
    <xf numFmtId="4" fontId="5" fillId="0" borderId="15" xfId="1" quotePrefix="1" applyNumberFormat="1" applyFont="1" applyFill="1" applyBorder="1" applyAlignment="1" applyProtection="1">
      <alignment horizontal="center" vertical="center" wrapText="1"/>
    </xf>
    <xf numFmtId="4" fontId="7" fillId="2" borderId="19" xfId="0" applyNumberFormat="1" applyFont="1" applyFill="1" applyBorder="1" applyAlignment="1">
      <alignment horizontal="center" vertical="center" wrapText="1"/>
    </xf>
    <xf numFmtId="10" fontId="5" fillId="0" borderId="21" xfId="0" quotePrefix="1" applyNumberFormat="1" applyFont="1" applyBorder="1" applyAlignment="1">
      <alignment horizontal="center" vertical="center" wrapText="1"/>
    </xf>
    <xf numFmtId="165" fontId="5" fillId="0" borderId="0" xfId="1" quotePrefix="1" applyNumberFormat="1" applyFont="1" applyFill="1" applyBorder="1" applyAlignment="1" applyProtection="1">
      <alignment horizontal="center" vertical="center" wrapText="1"/>
    </xf>
    <xf numFmtId="165" fontId="5" fillId="0" borderId="9" xfId="1" quotePrefix="1" applyNumberFormat="1" applyFont="1" applyFill="1" applyBorder="1" applyAlignment="1" applyProtection="1">
      <alignment horizontal="center" vertical="center" wrapText="1"/>
    </xf>
    <xf numFmtId="165" fontId="5" fillId="0" borderId="14" xfId="1" quotePrefix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17" xfId="0" applyFont="1" applyBorder="1" applyAlignment="1">
      <alignment horizontal="center" vertical="center"/>
    </xf>
    <xf numFmtId="4" fontId="7" fillId="2" borderId="33" xfId="0" applyNumberFormat="1" applyFont="1" applyFill="1" applyBorder="1" applyAlignment="1">
      <alignment horizontal="center" vertical="center" wrapText="1"/>
    </xf>
    <xf numFmtId="4" fontId="5" fillId="0" borderId="25" xfId="1" quotePrefix="1" applyNumberFormat="1" applyFont="1" applyFill="1" applyBorder="1" applyAlignment="1" applyProtection="1">
      <alignment horizontal="center" vertical="center" wrapText="1"/>
    </xf>
    <xf numFmtId="4" fontId="5" fillId="0" borderId="26" xfId="1" quotePrefix="1" applyNumberFormat="1" applyFont="1" applyFill="1" applyBorder="1" applyAlignment="1" applyProtection="1">
      <alignment horizontal="center" vertical="center" wrapText="1"/>
    </xf>
    <xf numFmtId="165" fontId="5" fillId="0" borderId="26" xfId="1" quotePrefix="1" applyNumberFormat="1" applyFont="1" applyFill="1" applyBorder="1" applyAlignment="1" applyProtection="1">
      <alignment horizontal="center" vertical="center" wrapText="1"/>
    </xf>
    <xf numFmtId="0" fontId="14" fillId="3" borderId="2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4" fillId="0" borderId="2" xfId="1" applyNumberFormat="1" applyFont="1" applyFill="1" applyBorder="1" applyAlignment="1" applyProtection="1">
      <alignment horizontal="center" vertical="center" wrapText="1"/>
    </xf>
    <xf numFmtId="165" fontId="5" fillId="0" borderId="0" xfId="1" applyNumberFormat="1" applyFont="1" applyFill="1" applyBorder="1" applyAlignment="1" applyProtection="1">
      <alignment horizontal="center" vertical="center" wrapText="1"/>
    </xf>
    <xf numFmtId="4" fontId="9" fillId="0" borderId="0" xfId="1" applyNumberFormat="1" applyFont="1" applyFill="1" applyBorder="1" applyAlignment="1" applyProtection="1">
      <alignment horizontal="center" vertical="center" wrapText="1"/>
    </xf>
    <xf numFmtId="4" fontId="18" fillId="5" borderId="7" xfId="0" applyNumberFormat="1" applyFont="1" applyFill="1" applyBorder="1" applyAlignment="1">
      <alignment horizontal="left" vertical="center" wrapText="1"/>
    </xf>
    <xf numFmtId="4" fontId="18" fillId="5" borderId="7" xfId="0" applyNumberFormat="1" applyFont="1" applyFill="1" applyBorder="1" applyAlignment="1">
      <alignment horizontal="center" vertical="center" wrapText="1"/>
    </xf>
    <xf numFmtId="4" fontId="18" fillId="5" borderId="8" xfId="0" applyNumberFormat="1" applyFont="1" applyFill="1" applyBorder="1" applyAlignment="1">
      <alignment horizontal="center" vertical="center" wrapText="1"/>
    </xf>
    <xf numFmtId="10" fontId="18" fillId="5" borderId="8" xfId="2" applyNumberFormat="1" applyFont="1" applyFill="1" applyBorder="1" applyAlignment="1" applyProtection="1">
      <alignment horizontal="center" vertical="center" wrapText="1"/>
    </xf>
    <xf numFmtId="49" fontId="19" fillId="5" borderId="7" xfId="0" applyNumberFormat="1" applyFont="1" applyFill="1" applyBorder="1" applyAlignment="1">
      <alignment vertical="center"/>
    </xf>
    <xf numFmtId="4" fontId="19" fillId="5" borderId="7" xfId="0" applyNumberFormat="1" applyFont="1" applyFill="1" applyBorder="1" applyAlignment="1">
      <alignment horizontal="center" vertical="center" wrapText="1"/>
    </xf>
    <xf numFmtId="4" fontId="19" fillId="5" borderId="8" xfId="0" applyNumberFormat="1" applyFont="1" applyFill="1" applyBorder="1" applyAlignment="1">
      <alignment horizontal="center" vertical="center" wrapText="1"/>
    </xf>
    <xf numFmtId="10" fontId="19" fillId="5" borderId="8" xfId="0" quotePrefix="1" applyNumberFormat="1" applyFont="1" applyFill="1" applyBorder="1" applyAlignment="1">
      <alignment horizontal="center" vertical="center" wrapText="1"/>
    </xf>
    <xf numFmtId="49" fontId="19" fillId="0" borderId="18" xfId="0" applyNumberFormat="1" applyFont="1" applyBorder="1" applyAlignment="1">
      <alignment vertical="center"/>
    </xf>
    <xf numFmtId="4" fontId="19" fillId="0" borderId="7" xfId="1" quotePrefix="1" applyNumberFormat="1" applyFont="1" applyFill="1" applyBorder="1" applyAlignment="1" applyProtection="1">
      <alignment horizontal="center" vertical="center" wrapText="1"/>
    </xf>
    <xf numFmtId="4" fontId="19" fillId="0" borderId="8" xfId="1" quotePrefix="1" applyNumberFormat="1" applyFont="1" applyFill="1" applyBorder="1" applyAlignment="1" applyProtection="1">
      <alignment horizontal="center" vertical="center" wrapText="1"/>
    </xf>
    <xf numFmtId="10" fontId="19" fillId="0" borderId="8" xfId="0" quotePrefix="1" applyNumberFormat="1" applyFont="1" applyBorder="1" applyAlignment="1">
      <alignment horizontal="center" vertical="center" wrapText="1"/>
    </xf>
    <xf numFmtId="49" fontId="20" fillId="0" borderId="23" xfId="0" applyNumberFormat="1" applyFont="1" applyBorder="1" applyAlignment="1">
      <alignment vertical="center"/>
    </xf>
    <xf numFmtId="4" fontId="20" fillId="0" borderId="11" xfId="1" quotePrefix="1" applyNumberFormat="1" applyFont="1" applyFill="1" applyBorder="1" applyAlignment="1" applyProtection="1">
      <alignment horizontal="center" vertical="center" wrapText="1"/>
    </xf>
    <xf numFmtId="4" fontId="20" fillId="0" borderId="9" xfId="1" quotePrefix="1" applyNumberFormat="1" applyFont="1" applyFill="1" applyBorder="1" applyAlignment="1" applyProtection="1">
      <alignment horizontal="center" vertical="center" wrapText="1"/>
    </xf>
    <xf numFmtId="165" fontId="20" fillId="0" borderId="9" xfId="1" quotePrefix="1" applyNumberFormat="1" applyFont="1" applyFill="1" applyBorder="1" applyAlignment="1" applyProtection="1">
      <alignment horizontal="center" vertical="center" wrapText="1"/>
    </xf>
    <xf numFmtId="10" fontId="20" fillId="0" borderId="9" xfId="0" quotePrefix="1" applyNumberFormat="1" applyFont="1" applyBorder="1" applyAlignment="1">
      <alignment horizontal="center" vertical="center" wrapText="1"/>
    </xf>
    <xf numFmtId="49" fontId="20" fillId="0" borderId="22" xfId="0" applyNumberFormat="1" applyFont="1" applyBorder="1" applyAlignment="1">
      <alignment vertical="center"/>
    </xf>
    <xf numFmtId="4" fontId="20" fillId="0" borderId="0" xfId="1" quotePrefix="1" applyNumberFormat="1" applyFont="1" applyFill="1" applyBorder="1" applyAlignment="1" applyProtection="1">
      <alignment horizontal="center" vertical="center" wrapText="1"/>
    </xf>
    <xf numFmtId="165" fontId="20" fillId="0" borderId="0" xfId="1" quotePrefix="1" applyNumberFormat="1" applyFont="1" applyFill="1" applyBorder="1" applyAlignment="1" applyProtection="1">
      <alignment horizontal="center" vertical="center" wrapText="1"/>
    </xf>
    <xf numFmtId="10" fontId="20" fillId="0" borderId="0" xfId="0" quotePrefix="1" applyNumberFormat="1" applyFont="1" applyAlignment="1">
      <alignment horizontal="center" vertical="center" wrapText="1"/>
    </xf>
    <xf numFmtId="49" fontId="20" fillId="0" borderId="35" xfId="0" applyNumberFormat="1" applyFont="1" applyBorder="1" applyAlignment="1">
      <alignment vertical="center"/>
    </xf>
    <xf numFmtId="4" fontId="20" fillId="0" borderId="25" xfId="1" quotePrefix="1" applyNumberFormat="1" applyFont="1" applyFill="1" applyBorder="1" applyAlignment="1" applyProtection="1">
      <alignment horizontal="center" vertical="center" wrapText="1"/>
    </xf>
    <xf numFmtId="4" fontId="20" fillId="0" borderId="26" xfId="1" quotePrefix="1" applyNumberFormat="1" applyFont="1" applyFill="1" applyBorder="1" applyAlignment="1" applyProtection="1">
      <alignment horizontal="center" vertical="center" wrapText="1"/>
    </xf>
    <xf numFmtId="165" fontId="20" fillId="0" borderId="26" xfId="1" quotePrefix="1" applyNumberFormat="1" applyFont="1" applyFill="1" applyBorder="1" applyAlignment="1" applyProtection="1">
      <alignment horizontal="center" vertical="center" wrapText="1"/>
    </xf>
    <xf numFmtId="10" fontId="20" fillId="0" borderId="26" xfId="0" quotePrefix="1" applyNumberFormat="1" applyFont="1" applyBorder="1" applyAlignment="1">
      <alignment horizontal="center" vertical="center" wrapText="1"/>
    </xf>
    <xf numFmtId="4" fontId="20" fillId="0" borderId="3" xfId="1" quotePrefix="1" applyNumberFormat="1" applyFont="1" applyFill="1" applyBorder="1" applyAlignment="1" applyProtection="1">
      <alignment horizontal="center" vertical="center" wrapText="1"/>
    </xf>
    <xf numFmtId="4" fontId="20" fillId="0" borderId="4" xfId="1" quotePrefix="1" applyNumberFormat="1" applyFont="1" applyFill="1" applyBorder="1" applyAlignment="1" applyProtection="1">
      <alignment horizontal="center" vertical="center" wrapText="1"/>
    </xf>
    <xf numFmtId="165" fontId="20" fillId="0" borderId="4" xfId="1" quotePrefix="1" applyNumberFormat="1" applyFont="1" applyFill="1" applyBorder="1" applyAlignment="1" applyProtection="1">
      <alignment horizontal="center" vertical="center" wrapText="1"/>
    </xf>
    <xf numFmtId="4" fontId="20" fillId="0" borderId="7" xfId="1" quotePrefix="1" applyNumberFormat="1" applyFont="1" applyFill="1" applyBorder="1" applyAlignment="1" applyProtection="1">
      <alignment horizontal="center" vertical="center" wrapText="1"/>
    </xf>
    <xf numFmtId="4" fontId="20" fillId="0" borderId="8" xfId="1" quotePrefix="1" applyNumberFormat="1" applyFont="1" applyFill="1" applyBorder="1" applyAlignment="1" applyProtection="1">
      <alignment horizontal="center" vertical="center" wrapText="1"/>
    </xf>
    <xf numFmtId="165" fontId="20" fillId="0" borderId="8" xfId="1" quotePrefix="1" applyNumberFormat="1" applyFont="1" applyFill="1" applyBorder="1" applyAlignment="1" applyProtection="1">
      <alignment horizontal="center" vertical="center" wrapText="1"/>
    </xf>
    <xf numFmtId="165" fontId="21" fillId="3" borderId="2" xfId="0" applyNumberFormat="1" applyFont="1" applyFill="1" applyBorder="1" applyAlignment="1">
      <alignment horizontal="center" vertical="center" wrapText="1"/>
    </xf>
    <xf numFmtId="165" fontId="21" fillId="3" borderId="0" xfId="0" applyNumberFormat="1" applyFont="1" applyFill="1" applyAlignment="1">
      <alignment horizontal="center" vertical="center" wrapText="1"/>
    </xf>
    <xf numFmtId="10" fontId="21" fillId="0" borderId="0" xfId="0" quotePrefix="1" applyNumberFormat="1" applyFont="1" applyAlignment="1">
      <alignment horizontal="center" vertical="center" wrapText="1"/>
    </xf>
    <xf numFmtId="49" fontId="22" fillId="0" borderId="22" xfId="0" applyNumberFormat="1" applyFont="1" applyBorder="1" applyAlignment="1">
      <alignment vertical="center"/>
    </xf>
    <xf numFmtId="166" fontId="23" fillId="0" borderId="2" xfId="1" applyNumberFormat="1" applyFont="1" applyFill="1" applyBorder="1" applyAlignment="1" applyProtection="1">
      <alignment horizontal="center" vertical="center" wrapText="1"/>
    </xf>
    <xf numFmtId="4" fontId="24" fillId="0" borderId="0" xfId="1" applyNumberFormat="1" applyFont="1" applyFill="1" applyBorder="1" applyAlignment="1" applyProtection="1">
      <alignment horizontal="center" vertical="center" wrapText="1"/>
    </xf>
    <xf numFmtId="165" fontId="24" fillId="0" borderId="0" xfId="1" applyNumberFormat="1" applyFont="1" applyFill="1" applyBorder="1" applyAlignment="1" applyProtection="1">
      <alignment horizontal="center" vertical="center" wrapText="1"/>
    </xf>
    <xf numFmtId="10" fontId="24" fillId="0" borderId="0" xfId="0" quotePrefix="1" applyNumberFormat="1" applyFont="1" applyAlignment="1">
      <alignment horizontal="center" vertical="center" wrapText="1"/>
    </xf>
    <xf numFmtId="49" fontId="19" fillId="6" borderId="7" xfId="0" applyNumberFormat="1" applyFont="1" applyFill="1" applyBorder="1" applyAlignment="1">
      <alignment vertical="center"/>
    </xf>
    <xf numFmtId="4" fontId="19" fillId="6" borderId="7" xfId="0" applyNumberFormat="1" applyFont="1" applyFill="1" applyBorder="1" applyAlignment="1">
      <alignment horizontal="center" vertical="center" wrapText="1"/>
    </xf>
    <xf numFmtId="4" fontId="19" fillId="6" borderId="8" xfId="0" applyNumberFormat="1" applyFont="1" applyFill="1" applyBorder="1" applyAlignment="1">
      <alignment horizontal="center" vertical="center" wrapText="1"/>
    </xf>
    <xf numFmtId="10" fontId="19" fillId="6" borderId="8" xfId="0" quotePrefix="1" applyNumberFormat="1" applyFont="1" applyFill="1" applyBorder="1" applyAlignment="1">
      <alignment horizontal="center" vertical="center" wrapText="1"/>
    </xf>
    <xf numFmtId="49" fontId="19" fillId="6" borderId="7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4" fontId="19" fillId="3" borderId="0" xfId="0" applyNumberFormat="1" applyFont="1" applyFill="1" applyAlignment="1">
      <alignment horizontal="center" vertical="center" wrapText="1"/>
    </xf>
    <xf numFmtId="4" fontId="19" fillId="3" borderId="0" xfId="0" quotePrefix="1" applyNumberFormat="1" applyFont="1" applyFill="1" applyAlignment="1">
      <alignment horizontal="center" vertical="center" wrapText="1"/>
    </xf>
    <xf numFmtId="165" fontId="19" fillId="3" borderId="0" xfId="0" quotePrefix="1" applyNumberFormat="1" applyFont="1" applyFill="1" applyAlignment="1">
      <alignment horizontal="center" vertical="center" wrapText="1"/>
    </xf>
    <xf numFmtId="10" fontId="19" fillId="3" borderId="0" xfId="0" quotePrefix="1" applyNumberFormat="1" applyFont="1" applyFill="1" applyAlignment="1">
      <alignment horizontal="center" vertical="center" wrapText="1"/>
    </xf>
    <xf numFmtId="4" fontId="19" fillId="7" borderId="7" xfId="0" applyNumberFormat="1" applyFont="1" applyFill="1" applyBorder="1" applyAlignment="1">
      <alignment horizontal="left" vertical="center" wrapText="1"/>
    </xf>
    <xf numFmtId="4" fontId="19" fillId="7" borderId="7" xfId="0" applyNumberFormat="1" applyFont="1" applyFill="1" applyBorder="1" applyAlignment="1">
      <alignment horizontal="center" vertical="center" wrapText="1"/>
    </xf>
    <xf numFmtId="4" fontId="19" fillId="7" borderId="8" xfId="0" applyNumberFormat="1" applyFont="1" applyFill="1" applyBorder="1" applyAlignment="1">
      <alignment horizontal="center" vertical="center" wrapText="1"/>
    </xf>
    <xf numFmtId="10" fontId="19" fillId="7" borderId="8" xfId="2" applyNumberFormat="1" applyFont="1" applyFill="1" applyBorder="1" applyAlignment="1" applyProtection="1">
      <alignment horizontal="center" vertical="center" wrapText="1"/>
    </xf>
    <xf numFmtId="10" fontId="19" fillId="5" borderId="10" xfId="0" quotePrefix="1" applyNumberFormat="1" applyFont="1" applyFill="1" applyBorder="1" applyAlignment="1">
      <alignment horizontal="center" vertical="center" wrapText="1"/>
    </xf>
    <xf numFmtId="10" fontId="19" fillId="0" borderId="10" xfId="0" quotePrefix="1" applyNumberFormat="1" applyFont="1" applyBorder="1" applyAlignment="1">
      <alignment horizontal="center" vertical="center" wrapText="1"/>
    </xf>
    <xf numFmtId="10" fontId="5" fillId="0" borderId="20" xfId="0" quotePrefix="1" applyNumberFormat="1" applyFont="1" applyBorder="1" applyAlignment="1">
      <alignment horizontal="center" vertical="center" wrapText="1"/>
    </xf>
    <xf numFmtId="10" fontId="5" fillId="0" borderId="27" xfId="0" quotePrefix="1" applyNumberFormat="1" applyFont="1" applyBorder="1" applyAlignment="1">
      <alignment horizontal="center" vertical="center" wrapText="1"/>
    </xf>
    <xf numFmtId="10" fontId="20" fillId="0" borderId="27" xfId="0" quotePrefix="1" applyNumberFormat="1" applyFont="1" applyBorder="1" applyAlignment="1">
      <alignment horizontal="center" vertical="center" wrapText="1"/>
    </xf>
    <xf numFmtId="10" fontId="21" fillId="0" borderId="21" xfId="0" quotePrefix="1" applyNumberFormat="1" applyFont="1" applyBorder="1" applyAlignment="1">
      <alignment horizontal="center" vertical="center" wrapText="1"/>
    </xf>
    <xf numFmtId="10" fontId="24" fillId="0" borderId="21" xfId="0" quotePrefix="1" applyNumberFormat="1" applyFont="1" applyBorder="1" applyAlignment="1">
      <alignment horizontal="center" vertical="center" wrapText="1"/>
    </xf>
    <xf numFmtId="10" fontId="19" fillId="6" borderId="10" xfId="0" quotePrefix="1" applyNumberFormat="1" applyFont="1" applyFill="1" applyBorder="1" applyAlignment="1">
      <alignment horizontal="center" vertical="center" wrapText="1"/>
    </xf>
    <xf numFmtId="4" fontId="19" fillId="0" borderId="16" xfId="1" quotePrefix="1" applyNumberFormat="1" applyFont="1" applyFill="1" applyBorder="1" applyAlignment="1" applyProtection="1">
      <alignment horizontal="center" vertical="center" wrapText="1"/>
    </xf>
    <xf numFmtId="4" fontId="19" fillId="0" borderId="17" xfId="1" quotePrefix="1" applyNumberFormat="1" applyFont="1" applyFill="1" applyBorder="1" applyAlignment="1" applyProtection="1">
      <alignment horizontal="center" vertical="center" wrapText="1"/>
    </xf>
    <xf numFmtId="10" fontId="19" fillId="0" borderId="24" xfId="0" quotePrefix="1" applyNumberFormat="1" applyFont="1" applyBorder="1" applyAlignment="1">
      <alignment horizontal="center" vertical="center" wrapText="1"/>
    </xf>
    <xf numFmtId="4" fontId="20" fillId="0" borderId="2" xfId="1" quotePrefix="1" applyNumberFormat="1" applyFont="1" applyFill="1" applyBorder="1" applyAlignment="1" applyProtection="1">
      <alignment horizontal="center" vertical="center" wrapText="1"/>
    </xf>
    <xf numFmtId="4" fontId="21" fillId="3" borderId="2" xfId="0" applyNumberFormat="1" applyFont="1" applyFill="1" applyBorder="1" applyAlignment="1">
      <alignment horizontal="center" vertical="center" wrapText="1"/>
    </xf>
    <xf numFmtId="4" fontId="21" fillId="3" borderId="0" xfId="0" applyNumberFormat="1" applyFont="1" applyFill="1" applyAlignment="1">
      <alignment horizontal="center" vertical="center" wrapText="1"/>
    </xf>
    <xf numFmtId="49" fontId="25" fillId="8" borderId="16" xfId="0" applyNumberFormat="1" applyFont="1" applyFill="1" applyBorder="1" applyAlignment="1">
      <alignment horizontal="center" vertical="center"/>
    </xf>
    <xf numFmtId="165" fontId="25" fillId="8" borderId="17" xfId="0" quotePrefix="1" applyNumberFormat="1" applyFont="1" applyFill="1" applyBorder="1" applyAlignment="1">
      <alignment horizontal="center" vertical="center" wrapText="1"/>
    </xf>
    <xf numFmtId="10" fontId="25" fillId="8" borderId="24" xfId="0" quotePrefix="1" applyNumberFormat="1" applyFont="1" applyFill="1" applyBorder="1" applyAlignment="1">
      <alignment horizontal="center" vertical="center"/>
    </xf>
    <xf numFmtId="49" fontId="25" fillId="8" borderId="7" xfId="0" applyNumberFormat="1" applyFont="1" applyFill="1" applyBorder="1" applyAlignment="1">
      <alignment horizontal="center" vertical="center"/>
    </xf>
    <xf numFmtId="165" fontId="25" fillId="8" borderId="8" xfId="0" quotePrefix="1" applyNumberFormat="1" applyFont="1" applyFill="1" applyBorder="1" applyAlignment="1">
      <alignment horizontal="center" vertical="center" wrapText="1"/>
    </xf>
    <xf numFmtId="10" fontId="25" fillId="8" borderId="10" xfId="0" quotePrefix="1" applyNumberFormat="1" applyFont="1" applyFill="1" applyBorder="1" applyAlignment="1">
      <alignment horizontal="center" vertical="center"/>
    </xf>
    <xf numFmtId="49" fontId="25" fillId="8" borderId="5" xfId="0" applyNumberFormat="1" applyFont="1" applyFill="1" applyBorder="1" applyAlignment="1">
      <alignment horizontal="center" vertical="center"/>
    </xf>
    <xf numFmtId="165" fontId="25" fillId="8" borderId="6" xfId="0" quotePrefix="1" applyNumberFormat="1" applyFont="1" applyFill="1" applyBorder="1" applyAlignment="1">
      <alignment horizontal="center" vertical="center" wrapText="1"/>
    </xf>
    <xf numFmtId="10" fontId="25" fillId="8" borderId="13" xfId="0" quotePrefix="1" applyNumberFormat="1" applyFont="1" applyFill="1" applyBorder="1" applyAlignment="1">
      <alignment horizontal="center" vertical="center"/>
    </xf>
    <xf numFmtId="49" fontId="27" fillId="0" borderId="34" xfId="0" applyNumberFormat="1" applyFont="1" applyBorder="1" applyAlignment="1">
      <alignment vertical="center"/>
    </xf>
    <xf numFmtId="49" fontId="10" fillId="0" borderId="22" xfId="0" applyNumberFormat="1" applyFont="1" applyBorder="1" applyAlignment="1">
      <alignment vertical="center"/>
    </xf>
    <xf numFmtId="165" fontId="5" fillId="9" borderId="0" xfId="1" applyNumberFormat="1" applyFont="1" applyFill="1" applyBorder="1" applyAlignment="1" applyProtection="1">
      <alignment horizontal="center" vertical="center" wrapText="1"/>
    </xf>
    <xf numFmtId="49" fontId="27" fillId="0" borderId="36" xfId="0" applyNumberFormat="1" applyFont="1" applyBorder="1" applyAlignment="1">
      <alignment vertical="center"/>
    </xf>
    <xf numFmtId="165" fontId="20" fillId="9" borderId="8" xfId="1" quotePrefix="1" applyNumberFormat="1" applyFont="1" applyFill="1" applyBorder="1" applyAlignment="1" applyProtection="1">
      <alignment horizontal="center" vertical="center" wrapText="1"/>
    </xf>
    <xf numFmtId="165" fontId="20" fillId="9" borderId="26" xfId="1" quotePrefix="1" applyNumberFormat="1" applyFont="1" applyFill="1" applyBorder="1" applyAlignment="1" applyProtection="1">
      <alignment horizontal="center" vertical="center" wrapText="1"/>
    </xf>
    <xf numFmtId="49" fontId="18" fillId="5" borderId="7" xfId="0" applyNumberFormat="1" applyFont="1" applyFill="1" applyBorder="1" applyAlignment="1">
      <alignment vertical="center"/>
    </xf>
    <xf numFmtId="10" fontId="18" fillId="5" borderId="10" xfId="0" quotePrefix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0" borderId="0" xfId="0" applyFont="1"/>
    <xf numFmtId="4" fontId="30" fillId="5" borderId="7" xfId="0" applyNumberFormat="1" applyFont="1" applyFill="1" applyBorder="1" applyAlignment="1">
      <alignment horizontal="center" vertical="center" wrapText="1"/>
    </xf>
    <xf numFmtId="4" fontId="30" fillId="5" borderId="8" xfId="0" applyNumberFormat="1" applyFont="1" applyFill="1" applyBorder="1" applyAlignment="1">
      <alignment horizontal="center" vertical="center" wrapText="1"/>
    </xf>
    <xf numFmtId="10" fontId="30" fillId="5" borderId="8" xfId="2" applyNumberFormat="1" applyFont="1" applyFill="1" applyBorder="1" applyAlignment="1" applyProtection="1">
      <alignment horizontal="center" vertical="center" wrapText="1"/>
    </xf>
    <xf numFmtId="4" fontId="31" fillId="5" borderId="7" xfId="0" applyNumberFormat="1" applyFont="1" applyFill="1" applyBorder="1" applyAlignment="1">
      <alignment horizontal="center" vertical="center" wrapText="1"/>
    </xf>
    <xf numFmtId="4" fontId="31" fillId="5" borderId="8" xfId="0" applyNumberFormat="1" applyFont="1" applyFill="1" applyBorder="1" applyAlignment="1">
      <alignment horizontal="center" vertical="center" wrapText="1"/>
    </xf>
    <xf numFmtId="10" fontId="31" fillId="5" borderId="8" xfId="0" quotePrefix="1" applyNumberFormat="1" applyFont="1" applyFill="1" applyBorder="1" applyAlignment="1">
      <alignment horizontal="center" vertical="center" wrapText="1"/>
    </xf>
    <xf numFmtId="4" fontId="31" fillId="0" borderId="7" xfId="1" quotePrefix="1" applyNumberFormat="1" applyFont="1" applyFill="1" applyBorder="1" applyAlignment="1" applyProtection="1">
      <alignment horizontal="center" vertical="center" wrapText="1"/>
    </xf>
    <xf numFmtId="4" fontId="31" fillId="0" borderId="8" xfId="1" quotePrefix="1" applyNumberFormat="1" applyFont="1" applyFill="1" applyBorder="1" applyAlignment="1" applyProtection="1">
      <alignment horizontal="center" vertical="center" wrapText="1"/>
    </xf>
    <xf numFmtId="10" fontId="31" fillId="0" borderId="8" xfId="0" quotePrefix="1" applyNumberFormat="1" applyFont="1" applyBorder="1" applyAlignment="1">
      <alignment horizontal="center" vertical="center" wrapText="1"/>
    </xf>
    <xf numFmtId="4" fontId="32" fillId="0" borderId="11" xfId="1" quotePrefix="1" applyNumberFormat="1" applyFont="1" applyFill="1" applyBorder="1" applyAlignment="1" applyProtection="1">
      <alignment horizontal="center" vertical="center" wrapText="1"/>
    </xf>
    <xf numFmtId="4" fontId="32" fillId="0" borderId="9" xfId="1" quotePrefix="1" applyNumberFormat="1" applyFont="1" applyFill="1" applyBorder="1" applyAlignment="1" applyProtection="1">
      <alignment horizontal="center" vertical="center" wrapText="1"/>
    </xf>
    <xf numFmtId="165" fontId="32" fillId="0" borderId="9" xfId="1" quotePrefix="1" applyNumberFormat="1" applyFont="1" applyFill="1" applyBorder="1" applyAlignment="1" applyProtection="1">
      <alignment horizontal="center" vertical="center" wrapText="1"/>
    </xf>
    <xf numFmtId="10" fontId="32" fillId="0" borderId="9" xfId="0" quotePrefix="1" applyNumberFormat="1" applyFont="1" applyBorder="1" applyAlignment="1">
      <alignment horizontal="center" vertical="center" wrapText="1"/>
    </xf>
    <xf numFmtId="4" fontId="32" fillId="0" borderId="0" xfId="1" quotePrefix="1" applyNumberFormat="1" applyFont="1" applyFill="1" applyBorder="1" applyAlignment="1" applyProtection="1">
      <alignment horizontal="center" vertical="center" wrapText="1"/>
    </xf>
    <xf numFmtId="165" fontId="32" fillId="0" borderId="0" xfId="1" quotePrefix="1" applyNumberFormat="1" applyFont="1" applyFill="1" applyBorder="1" applyAlignment="1" applyProtection="1">
      <alignment horizontal="center" vertical="center" wrapText="1"/>
    </xf>
    <xf numFmtId="10" fontId="32" fillId="0" borderId="0" xfId="0" quotePrefix="1" applyNumberFormat="1" applyFont="1" applyAlignment="1">
      <alignment horizontal="center" vertical="center" wrapText="1"/>
    </xf>
    <xf numFmtId="4" fontId="32" fillId="0" borderId="25" xfId="1" quotePrefix="1" applyNumberFormat="1" applyFont="1" applyFill="1" applyBorder="1" applyAlignment="1" applyProtection="1">
      <alignment horizontal="center" vertical="center" wrapText="1"/>
    </xf>
    <xf numFmtId="4" fontId="32" fillId="0" borderId="26" xfId="1" quotePrefix="1" applyNumberFormat="1" applyFont="1" applyFill="1" applyBorder="1" applyAlignment="1" applyProtection="1">
      <alignment horizontal="center" vertical="center" wrapText="1"/>
    </xf>
    <xf numFmtId="165" fontId="32" fillId="0" borderId="26" xfId="1" quotePrefix="1" applyNumberFormat="1" applyFont="1" applyFill="1" applyBorder="1" applyAlignment="1" applyProtection="1">
      <alignment horizontal="center" vertical="center" wrapText="1"/>
    </xf>
    <xf numFmtId="10" fontId="32" fillId="0" borderId="26" xfId="0" quotePrefix="1" applyNumberFormat="1" applyFont="1" applyBorder="1" applyAlignment="1">
      <alignment horizontal="center" vertical="center" wrapText="1"/>
    </xf>
    <xf numFmtId="4" fontId="32" fillId="0" borderId="4" xfId="1" quotePrefix="1" applyNumberFormat="1" applyFont="1" applyFill="1" applyBorder="1" applyAlignment="1" applyProtection="1">
      <alignment horizontal="center" vertical="center" wrapText="1"/>
    </xf>
    <xf numFmtId="165" fontId="32" fillId="0" borderId="4" xfId="1" quotePrefix="1" applyNumberFormat="1" applyFont="1" applyFill="1" applyBorder="1" applyAlignment="1" applyProtection="1">
      <alignment horizontal="center" vertical="center" wrapText="1"/>
    </xf>
    <xf numFmtId="4" fontId="32" fillId="0" borderId="7" xfId="1" quotePrefix="1" applyNumberFormat="1" applyFont="1" applyFill="1" applyBorder="1" applyAlignment="1" applyProtection="1">
      <alignment horizontal="center" vertical="center" wrapText="1"/>
    </xf>
    <xf numFmtId="4" fontId="32" fillId="0" borderId="8" xfId="1" quotePrefix="1" applyNumberFormat="1" applyFont="1" applyFill="1" applyBorder="1" applyAlignment="1" applyProtection="1">
      <alignment horizontal="center" vertical="center" wrapText="1"/>
    </xf>
    <xf numFmtId="165" fontId="32" fillId="0" borderId="8" xfId="1" quotePrefix="1" applyNumberFormat="1" applyFont="1" applyFill="1" applyBorder="1" applyAlignment="1" applyProtection="1">
      <alignment horizontal="center" vertical="center" wrapText="1"/>
    </xf>
    <xf numFmtId="165" fontId="33" fillId="3" borderId="2" xfId="0" applyNumberFormat="1" applyFont="1" applyFill="1" applyBorder="1" applyAlignment="1">
      <alignment horizontal="center" vertical="center" wrapText="1"/>
    </xf>
    <xf numFmtId="165" fontId="33" fillId="3" borderId="0" xfId="0" applyNumberFormat="1" applyFont="1" applyFill="1" applyAlignment="1">
      <alignment horizontal="center" vertical="center" wrapText="1"/>
    </xf>
    <xf numFmtId="10" fontId="33" fillId="0" borderId="0" xfId="0" quotePrefix="1" applyNumberFormat="1" applyFont="1" applyAlignment="1">
      <alignment horizontal="center" vertical="center" wrapText="1"/>
    </xf>
    <xf numFmtId="166" fontId="34" fillId="0" borderId="2" xfId="1" applyNumberFormat="1" applyFont="1" applyFill="1" applyBorder="1" applyAlignment="1" applyProtection="1">
      <alignment horizontal="center" vertical="center" wrapText="1"/>
    </xf>
    <xf numFmtId="4" fontId="35" fillId="0" borderId="0" xfId="1" applyNumberFormat="1" applyFont="1" applyFill="1" applyBorder="1" applyAlignment="1" applyProtection="1">
      <alignment horizontal="center" vertical="center" wrapText="1"/>
    </xf>
    <xf numFmtId="165" fontId="35" fillId="9" borderId="0" xfId="1" applyNumberFormat="1" applyFont="1" applyFill="1" applyBorder="1" applyAlignment="1" applyProtection="1">
      <alignment horizontal="center" vertical="center" wrapText="1"/>
    </xf>
    <xf numFmtId="10" fontId="35" fillId="0" borderId="21" xfId="0" quotePrefix="1" applyNumberFormat="1" applyFont="1" applyBorder="1" applyAlignment="1">
      <alignment horizontal="center" vertical="center" wrapText="1"/>
    </xf>
    <xf numFmtId="165" fontId="35" fillId="0" borderId="0" xfId="1" applyNumberFormat="1" applyFont="1" applyFill="1" applyBorder="1" applyAlignment="1" applyProtection="1">
      <alignment horizontal="center" vertical="center" wrapText="1"/>
    </xf>
    <xf numFmtId="166" fontId="31" fillId="0" borderId="2" xfId="1" applyNumberFormat="1" applyFont="1" applyFill="1" applyBorder="1" applyAlignment="1" applyProtection="1">
      <alignment horizontal="center" vertical="center" wrapText="1"/>
    </xf>
    <xf numFmtId="4" fontId="32" fillId="0" borderId="0" xfId="1" applyNumberFormat="1" applyFont="1" applyFill="1" applyBorder="1" applyAlignment="1" applyProtection="1">
      <alignment horizontal="center" vertical="center" wrapText="1"/>
    </xf>
    <xf numFmtId="165" fontId="32" fillId="0" borderId="0" xfId="1" applyNumberFormat="1" applyFont="1" applyFill="1" applyBorder="1" applyAlignment="1" applyProtection="1">
      <alignment horizontal="center" vertical="center" wrapText="1"/>
    </xf>
    <xf numFmtId="4" fontId="31" fillId="6" borderId="7" xfId="0" applyNumberFormat="1" applyFont="1" applyFill="1" applyBorder="1" applyAlignment="1">
      <alignment horizontal="center" vertical="center" wrapText="1"/>
    </xf>
    <xf numFmtId="4" fontId="31" fillId="6" borderId="8" xfId="0" applyNumberFormat="1" applyFont="1" applyFill="1" applyBorder="1" applyAlignment="1">
      <alignment horizontal="center" vertical="center" wrapText="1"/>
    </xf>
    <xf numFmtId="10" fontId="31" fillId="6" borderId="8" xfId="0" quotePrefix="1" applyNumberFormat="1" applyFont="1" applyFill="1" applyBorder="1" applyAlignment="1">
      <alignment horizontal="center" vertical="center" wrapText="1"/>
    </xf>
    <xf numFmtId="10" fontId="33" fillId="0" borderId="21" xfId="0" quotePrefix="1" applyNumberFormat="1" applyFont="1" applyBorder="1" applyAlignment="1">
      <alignment horizontal="center" vertical="center" wrapText="1"/>
    </xf>
    <xf numFmtId="4" fontId="31" fillId="3" borderId="0" xfId="0" applyNumberFormat="1" applyFont="1" applyFill="1" applyAlignment="1">
      <alignment horizontal="center" vertical="center" wrapText="1"/>
    </xf>
    <xf numFmtId="4" fontId="31" fillId="3" borderId="0" xfId="0" quotePrefix="1" applyNumberFormat="1" applyFont="1" applyFill="1" applyAlignment="1">
      <alignment horizontal="center" vertical="center" wrapText="1"/>
    </xf>
    <xf numFmtId="165" fontId="31" fillId="3" borderId="0" xfId="0" quotePrefix="1" applyNumberFormat="1" applyFont="1" applyFill="1" applyAlignment="1">
      <alignment horizontal="center" vertical="center" wrapText="1"/>
    </xf>
    <xf numFmtId="10" fontId="31" fillId="3" borderId="0" xfId="0" quotePrefix="1" applyNumberFormat="1" applyFont="1" applyFill="1" applyAlignment="1">
      <alignment horizontal="center" vertical="center" wrapText="1"/>
    </xf>
    <xf numFmtId="4" fontId="31" fillId="7" borderId="7" xfId="0" applyNumberFormat="1" applyFont="1" applyFill="1" applyBorder="1" applyAlignment="1">
      <alignment horizontal="center" vertical="center" wrapText="1"/>
    </xf>
    <xf numFmtId="4" fontId="31" fillId="7" borderId="8" xfId="0" applyNumberFormat="1" applyFont="1" applyFill="1" applyBorder="1" applyAlignment="1">
      <alignment horizontal="center" vertical="center" wrapText="1"/>
    </xf>
    <xf numFmtId="10" fontId="31" fillId="7" borderId="8" xfId="2" applyNumberFormat="1" applyFont="1" applyFill="1" applyBorder="1" applyAlignment="1" applyProtection="1">
      <alignment horizontal="center" vertical="center" wrapText="1"/>
    </xf>
    <xf numFmtId="10" fontId="30" fillId="5" borderId="10" xfId="0" quotePrefix="1" applyNumberFormat="1" applyFont="1" applyFill="1" applyBorder="1" applyAlignment="1">
      <alignment horizontal="center" vertical="center" wrapText="1"/>
    </xf>
    <xf numFmtId="10" fontId="31" fillId="5" borderId="10" xfId="0" quotePrefix="1" applyNumberFormat="1" applyFont="1" applyFill="1" applyBorder="1" applyAlignment="1">
      <alignment horizontal="center" vertical="center" wrapText="1"/>
    </xf>
    <xf numFmtId="10" fontId="31" fillId="0" borderId="10" xfId="0" quotePrefix="1" applyNumberFormat="1" applyFont="1" applyBorder="1" applyAlignment="1">
      <alignment horizontal="center" vertical="center" wrapText="1"/>
    </xf>
    <xf numFmtId="4" fontId="35" fillId="0" borderId="11" xfId="1" quotePrefix="1" applyNumberFormat="1" applyFont="1" applyFill="1" applyBorder="1" applyAlignment="1" applyProtection="1">
      <alignment horizontal="center" vertical="center" wrapText="1"/>
    </xf>
    <xf numFmtId="4" fontId="35" fillId="0" borderId="14" xfId="1" quotePrefix="1" applyNumberFormat="1" applyFont="1" applyFill="1" applyBorder="1" applyAlignment="1" applyProtection="1">
      <alignment horizontal="center" vertical="center" wrapText="1"/>
    </xf>
    <xf numFmtId="165" fontId="35" fillId="0" borderId="14" xfId="1" quotePrefix="1" applyNumberFormat="1" applyFont="1" applyFill="1" applyBorder="1" applyAlignment="1" applyProtection="1">
      <alignment horizontal="center" vertical="center" wrapText="1"/>
    </xf>
    <xf numFmtId="10" fontId="35" fillId="0" borderId="20" xfId="0" quotePrefix="1" applyNumberFormat="1" applyFont="1" applyBorder="1" applyAlignment="1">
      <alignment horizontal="center" vertical="center" wrapText="1"/>
    </xf>
    <xf numFmtId="4" fontId="35" fillId="0" borderId="0" xfId="1" quotePrefix="1" applyNumberFormat="1" applyFont="1" applyFill="1" applyBorder="1" applyAlignment="1" applyProtection="1">
      <alignment horizontal="center" vertical="center" wrapText="1"/>
    </xf>
    <xf numFmtId="165" fontId="35" fillId="0" borderId="0" xfId="1" quotePrefix="1" applyNumberFormat="1" applyFont="1" applyFill="1" applyBorder="1" applyAlignment="1" applyProtection="1">
      <alignment horizontal="center" vertical="center" wrapText="1"/>
    </xf>
    <xf numFmtId="4" fontId="35" fillId="0" borderId="9" xfId="1" quotePrefix="1" applyNumberFormat="1" applyFont="1" applyFill="1" applyBorder="1" applyAlignment="1" applyProtection="1">
      <alignment horizontal="center" vertical="center" wrapText="1"/>
    </xf>
    <xf numFmtId="165" fontId="35" fillId="0" borderId="9" xfId="1" quotePrefix="1" applyNumberFormat="1" applyFont="1" applyFill="1" applyBorder="1" applyAlignment="1" applyProtection="1">
      <alignment horizontal="center" vertical="center" wrapText="1"/>
    </xf>
    <xf numFmtId="4" fontId="35" fillId="0" borderId="25" xfId="1" quotePrefix="1" applyNumberFormat="1" applyFont="1" applyFill="1" applyBorder="1" applyAlignment="1" applyProtection="1">
      <alignment horizontal="center" vertical="center" wrapText="1"/>
    </xf>
    <xf numFmtId="4" fontId="35" fillId="0" borderId="26" xfId="1" quotePrefix="1" applyNumberFormat="1" applyFont="1" applyFill="1" applyBorder="1" applyAlignment="1" applyProtection="1">
      <alignment horizontal="center" vertical="center" wrapText="1"/>
    </xf>
    <xf numFmtId="10" fontId="35" fillId="0" borderId="27" xfId="0" quotePrefix="1" applyNumberFormat="1" applyFont="1" applyBorder="1" applyAlignment="1">
      <alignment horizontal="center" vertical="center" wrapText="1"/>
    </xf>
    <xf numFmtId="165" fontId="35" fillId="0" borderId="26" xfId="1" quotePrefix="1" applyNumberFormat="1" applyFont="1" applyFill="1" applyBorder="1" applyAlignment="1" applyProtection="1">
      <alignment horizontal="center" vertical="center" wrapText="1"/>
    </xf>
    <xf numFmtId="10" fontId="32" fillId="0" borderId="27" xfId="0" quotePrefix="1" applyNumberFormat="1" applyFont="1" applyBorder="1" applyAlignment="1">
      <alignment horizontal="center" vertical="center" wrapText="1"/>
    </xf>
    <xf numFmtId="10" fontId="31" fillId="6" borderId="10" xfId="0" quotePrefix="1" applyNumberFormat="1" applyFont="1" applyFill="1" applyBorder="1" applyAlignment="1">
      <alignment horizontal="center" vertical="center" wrapText="1"/>
    </xf>
    <xf numFmtId="4" fontId="31" fillId="0" borderId="16" xfId="1" quotePrefix="1" applyNumberFormat="1" applyFont="1" applyFill="1" applyBorder="1" applyAlignment="1" applyProtection="1">
      <alignment horizontal="center" vertical="center" wrapText="1"/>
    </xf>
    <xf numFmtId="4" fontId="31" fillId="0" borderId="17" xfId="1" quotePrefix="1" applyNumberFormat="1" applyFont="1" applyFill="1" applyBorder="1" applyAlignment="1" applyProtection="1">
      <alignment horizontal="center" vertical="center" wrapText="1"/>
    </xf>
    <xf numFmtId="10" fontId="31" fillId="0" borderId="24" xfId="0" quotePrefix="1" applyNumberFormat="1" applyFont="1" applyBorder="1" applyAlignment="1">
      <alignment horizontal="center" vertical="center" wrapText="1"/>
    </xf>
    <xf numFmtId="4" fontId="32" fillId="0" borderId="2" xfId="1" quotePrefix="1" applyNumberFormat="1" applyFont="1" applyFill="1" applyBorder="1" applyAlignment="1" applyProtection="1">
      <alignment horizontal="center" vertical="center" wrapText="1"/>
    </xf>
    <xf numFmtId="4" fontId="33" fillId="3" borderId="2" xfId="0" applyNumberFormat="1" applyFont="1" applyFill="1" applyBorder="1" applyAlignment="1">
      <alignment horizontal="center" vertical="center" wrapText="1"/>
    </xf>
    <xf numFmtId="4" fontId="33" fillId="3" borderId="0" xfId="0" applyNumberFormat="1" applyFont="1" applyFill="1" applyAlignment="1">
      <alignment horizontal="center" vertical="center" wrapText="1"/>
    </xf>
    <xf numFmtId="10" fontId="32" fillId="0" borderId="21" xfId="0" quotePrefix="1" applyNumberFormat="1" applyFont="1" applyBorder="1" applyAlignment="1">
      <alignment horizontal="center" vertical="center" wrapText="1"/>
    </xf>
    <xf numFmtId="10" fontId="0" fillId="0" borderId="0" xfId="2" applyNumberFormat="1" applyFont="1" applyAlignment="1"/>
    <xf numFmtId="10" fontId="0" fillId="0" borderId="0" xfId="2" applyNumberFormat="1" applyFont="1"/>
    <xf numFmtId="0" fontId="13" fillId="0" borderId="2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5" fillId="2" borderId="30" xfId="0" applyNumberFormat="1" applyFont="1" applyFill="1" applyBorder="1" applyAlignment="1">
      <alignment horizontal="center" vertical="center" wrapText="1"/>
    </xf>
    <xf numFmtId="49" fontId="15" fillId="2" borderId="32" xfId="0" applyNumberFormat="1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49" fontId="20" fillId="9" borderId="35" xfId="0" applyNumberFormat="1" applyFont="1" applyFill="1" applyBorder="1" applyAlignment="1">
      <alignment vertical="center"/>
    </xf>
    <xf numFmtId="44" fontId="0" fillId="0" borderId="0" xfId="0" applyNumberFormat="1"/>
    <xf numFmtId="44" fontId="0" fillId="0" borderId="0" xfId="1" applyNumberFormat="1" applyFont="1" applyAlignment="1"/>
  </cellXfs>
  <cellStyles count="4">
    <cellStyle name="Millares" xfId="1" builtinId="3"/>
    <cellStyle name="Normal" xfId="0" builtinId="0"/>
    <cellStyle name="Normal 3" xfId="3" xr:uid="{00000000-0005-0000-0000-000003000000}"/>
    <cellStyle name="Porcentaje" xfId="2" builtinId="5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7"/>
  <sheetViews>
    <sheetView showGridLines="0" showZeros="0" tabSelected="1" zoomScale="55" zoomScaleNormal="55" zoomScaleSheetLayoutView="40" workbookViewId="0">
      <pane ySplit="3" topLeftCell="A4" activePane="bottomLeft" state="frozen"/>
      <selection pane="bottomLeft" activeCell="J7" sqref="J7"/>
    </sheetView>
  </sheetViews>
  <sheetFormatPr baseColWidth="10" defaultColWidth="0" defaultRowHeight="0" customHeight="1" zeroHeight="1" x14ac:dyDescent="0.25"/>
  <cols>
    <col min="1" max="1" width="72.6328125" customWidth="1"/>
    <col min="2" max="2" width="15.7265625" style="3" customWidth="1"/>
    <col min="3" max="5" width="15.7265625" style="4" customWidth="1"/>
    <col min="6" max="6" width="16.7265625" style="4" customWidth="1"/>
    <col min="7" max="7" width="15.7265625" style="3" customWidth="1"/>
    <col min="8" max="10" width="15.7265625" style="4" customWidth="1"/>
    <col min="11" max="11" width="16.7265625" style="4" customWidth="1"/>
    <col min="12" max="12" width="15.7265625" style="3" customWidth="1"/>
    <col min="13" max="15" width="15.7265625" style="4" customWidth="1"/>
    <col min="16" max="16" width="16.7265625" style="4" customWidth="1"/>
    <col min="17" max="25" width="0" hidden="1" customWidth="1"/>
    <col min="26" max="38" width="16.90625" hidden="1" customWidth="1"/>
    <col min="39" max="16384" width="8" hidden="1"/>
  </cols>
  <sheetData>
    <row r="1" spans="1:16" ht="63" customHeight="1" x14ac:dyDescent="0.25">
      <c r="A1" s="191" t="s">
        <v>83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21" t="s">
        <v>10</v>
      </c>
      <c r="P1" s="26">
        <v>5</v>
      </c>
    </row>
    <row r="2" spans="1:16" ht="35.4" x14ac:dyDescent="0.25">
      <c r="A2" s="193" t="s">
        <v>0</v>
      </c>
      <c r="B2" s="195" t="s">
        <v>86</v>
      </c>
      <c r="C2" s="195"/>
      <c r="D2" s="195"/>
      <c r="E2" s="195"/>
      <c r="F2" s="195"/>
      <c r="G2" s="195" t="s">
        <v>84</v>
      </c>
      <c r="H2" s="195"/>
      <c r="I2" s="195"/>
      <c r="J2" s="195"/>
      <c r="K2" s="195"/>
      <c r="L2" s="195" t="s">
        <v>11</v>
      </c>
      <c r="M2" s="195"/>
      <c r="N2" s="195"/>
      <c r="O2" s="195"/>
      <c r="P2" s="196"/>
    </row>
    <row r="3" spans="1:16" s="6" customFormat="1" ht="48.9" customHeight="1" thickBot="1" x14ac:dyDescent="0.3">
      <c r="A3" s="194"/>
      <c r="B3" s="9" t="s">
        <v>9</v>
      </c>
      <c r="C3" s="10" t="s">
        <v>6</v>
      </c>
      <c r="D3" s="10" t="s">
        <v>7</v>
      </c>
      <c r="E3" s="10" t="s">
        <v>8</v>
      </c>
      <c r="F3" s="15" t="s">
        <v>1</v>
      </c>
      <c r="G3" s="9" t="s">
        <v>9</v>
      </c>
      <c r="H3" s="10" t="s">
        <v>6</v>
      </c>
      <c r="I3" s="10" t="s">
        <v>7</v>
      </c>
      <c r="J3" s="10" t="s">
        <v>8</v>
      </c>
      <c r="K3" s="15" t="s">
        <v>1</v>
      </c>
      <c r="L3" s="9" t="s">
        <v>9</v>
      </c>
      <c r="M3" s="10" t="s">
        <v>6</v>
      </c>
      <c r="N3" s="10" t="s">
        <v>7</v>
      </c>
      <c r="O3" s="10" t="s">
        <v>8</v>
      </c>
      <c r="P3" s="22" t="s">
        <v>1</v>
      </c>
    </row>
    <row r="4" spans="1:16" s="20" customFormat="1" ht="32.1" customHeight="1" x14ac:dyDescent="0.25">
      <c r="A4" s="31" t="s">
        <v>34</v>
      </c>
      <c r="B4" s="32">
        <f>B5+B34</f>
        <v>5200</v>
      </c>
      <c r="C4" s="33">
        <f>C5+C34</f>
        <v>4600</v>
      </c>
      <c r="D4" s="33">
        <f>D5+D34</f>
        <v>4600</v>
      </c>
      <c r="E4" s="33">
        <f>E5+E34</f>
        <v>485</v>
      </c>
      <c r="F4" s="34">
        <f t="shared" ref="F4:F22" si="0">E4/C4</f>
        <v>0.10543478260869565</v>
      </c>
      <c r="G4" s="118">
        <f t="shared" ref="G4:J5" si="1">(B4/12)*$P$1</f>
        <v>2166.6666666666665</v>
      </c>
      <c r="H4" s="119">
        <f t="shared" si="1"/>
        <v>1916.6666666666665</v>
      </c>
      <c r="I4" s="119">
        <f t="shared" si="1"/>
        <v>1916.6666666666665</v>
      </c>
      <c r="J4" s="119">
        <f t="shared" si="1"/>
        <v>202.08333333333331</v>
      </c>
      <c r="K4" s="120">
        <f>J4/H4</f>
        <v>0.10543478260869565</v>
      </c>
      <c r="L4" s="32">
        <f>B4-G4</f>
        <v>3033.3333333333335</v>
      </c>
      <c r="M4" s="33">
        <f t="shared" ref="M4:O5" si="2">C4-H4</f>
        <v>2683.3333333333335</v>
      </c>
      <c r="N4" s="33">
        <f t="shared" si="2"/>
        <v>2683.3333333333335</v>
      </c>
      <c r="O4" s="33">
        <f t="shared" si="2"/>
        <v>282.91666666666669</v>
      </c>
      <c r="P4" s="34">
        <f>O4/M4</f>
        <v>0.10543478260869565</v>
      </c>
    </row>
    <row r="5" spans="1:16" s="20" customFormat="1" ht="29.85" customHeight="1" x14ac:dyDescent="0.25">
      <c r="A5" s="35" t="s">
        <v>35</v>
      </c>
      <c r="B5" s="36">
        <v>3400</v>
      </c>
      <c r="C5" s="37">
        <v>3100</v>
      </c>
      <c r="D5" s="37">
        <v>3100</v>
      </c>
      <c r="E5" s="37">
        <v>335</v>
      </c>
      <c r="F5" s="38">
        <f t="shared" si="0"/>
        <v>0.10806451612903226</v>
      </c>
      <c r="G5" s="121">
        <f>(B5/12)*$P$1</f>
        <v>1416.6666666666665</v>
      </c>
      <c r="H5" s="122">
        <f>(C5/12)*$P$1</f>
        <v>1291.6666666666665</v>
      </c>
      <c r="I5" s="122">
        <f t="shared" si="1"/>
        <v>1291.6666666666665</v>
      </c>
      <c r="J5" s="122">
        <f>(E5/12)*$P$1</f>
        <v>139.58333333333334</v>
      </c>
      <c r="K5" s="123">
        <f>J5/H5</f>
        <v>0.10806451612903228</v>
      </c>
      <c r="L5" s="36">
        <f>B5-G5</f>
        <v>1983.3333333333335</v>
      </c>
      <c r="M5" s="37">
        <f t="shared" si="2"/>
        <v>1808.3333333333335</v>
      </c>
      <c r="N5" s="37">
        <f t="shared" si="2"/>
        <v>1808.3333333333335</v>
      </c>
      <c r="O5" s="37">
        <f t="shared" si="2"/>
        <v>195.41666666666666</v>
      </c>
      <c r="P5" s="38">
        <f>O5/M5</f>
        <v>0.10806451612903224</v>
      </c>
    </row>
    <row r="6" spans="1:16" s="20" customFormat="1" ht="24.75" customHeight="1" x14ac:dyDescent="0.25">
      <c r="A6" s="39" t="s">
        <v>20</v>
      </c>
      <c r="B6" s="40">
        <f>SUM(B7:B9)</f>
        <v>1220</v>
      </c>
      <c r="C6" s="41">
        <f>SUM(C7:C9)</f>
        <v>1110</v>
      </c>
      <c r="D6" s="41">
        <f>SUM(D7:D9)</f>
        <v>1110</v>
      </c>
      <c r="E6" s="41">
        <f>SUM(E7:E9)</f>
        <v>145</v>
      </c>
      <c r="F6" s="42">
        <f t="shared" si="0"/>
        <v>0.13063063063063063</v>
      </c>
      <c r="G6" s="124">
        <f>SUM(G7:G9)</f>
        <v>727.70760999999993</v>
      </c>
      <c r="H6" s="125">
        <f>SUM(H7:H9)</f>
        <v>727.70760999999993</v>
      </c>
      <c r="I6" s="125">
        <f>SUM(I7:I9)</f>
        <v>699.66560000000004</v>
      </c>
      <c r="J6" s="125">
        <f>SUM(J7:J9)</f>
        <v>65.881830000000036</v>
      </c>
      <c r="K6" s="126">
        <f t="shared" ref="K6:K22" si="3">J6/H6</f>
        <v>9.0533380570254091E-2</v>
      </c>
      <c r="L6" s="40">
        <f>SUM(L7:L9)</f>
        <v>492.29239000000007</v>
      </c>
      <c r="M6" s="41">
        <f>SUM(M7:M9)</f>
        <v>382.29239000000007</v>
      </c>
      <c r="N6" s="41">
        <f>SUM(N7:N9)</f>
        <v>410.33440000000007</v>
      </c>
      <c r="O6" s="41">
        <f>SUM(O7:O9)</f>
        <v>79.118169999999964</v>
      </c>
      <c r="P6" s="42">
        <f t="shared" ref="P6:P22" si="4">O6/M6</f>
        <v>0.2069572193158225</v>
      </c>
    </row>
    <row r="7" spans="1:16" s="20" customFormat="1" ht="24.75" customHeight="1" x14ac:dyDescent="0.25">
      <c r="A7" s="43" t="s">
        <v>30</v>
      </c>
      <c r="B7" s="44">
        <v>500</v>
      </c>
      <c r="C7" s="45">
        <v>450</v>
      </c>
      <c r="D7" s="45">
        <v>450</v>
      </c>
      <c r="E7" s="46">
        <v>30</v>
      </c>
      <c r="F7" s="47">
        <f t="shared" si="0"/>
        <v>6.6666666666666666E-2</v>
      </c>
      <c r="G7" s="127">
        <f>H7</f>
        <v>365.00461999999999</v>
      </c>
      <c r="H7" s="128">
        <v>365.00461999999999</v>
      </c>
      <c r="I7" s="128">
        <v>322.28649999999999</v>
      </c>
      <c r="J7" s="129">
        <v>15.154960000000044</v>
      </c>
      <c r="K7" s="130">
        <f>J7/H7</f>
        <v>4.1519912816446118E-2</v>
      </c>
      <c r="L7" s="44">
        <f>B7-G7</f>
        <v>134.99538000000001</v>
      </c>
      <c r="M7" s="45">
        <f t="shared" ref="M7:O9" si="5">C7-H7</f>
        <v>84.995380000000011</v>
      </c>
      <c r="N7" s="45">
        <f t="shared" si="5"/>
        <v>127.71350000000001</v>
      </c>
      <c r="O7" s="46">
        <f t="shared" si="5"/>
        <v>14.845039999999956</v>
      </c>
      <c r="P7" s="47">
        <f t="shared" si="4"/>
        <v>0.17465702253463605</v>
      </c>
    </row>
    <row r="8" spans="1:16" s="20" customFormat="1" ht="24.75" customHeight="1" x14ac:dyDescent="0.25">
      <c r="A8" s="48" t="s">
        <v>12</v>
      </c>
      <c r="B8" s="44">
        <v>320</v>
      </c>
      <c r="C8" s="49">
        <v>300</v>
      </c>
      <c r="D8" s="49">
        <v>300</v>
      </c>
      <c r="E8" s="50">
        <v>50</v>
      </c>
      <c r="F8" s="51">
        <f t="shared" si="0"/>
        <v>0.16666666666666666</v>
      </c>
      <c r="G8" s="127">
        <f>H8</f>
        <v>189.51277999999999</v>
      </c>
      <c r="H8" s="131">
        <v>189.51277999999999</v>
      </c>
      <c r="I8" s="131">
        <v>203.93125999999998</v>
      </c>
      <c r="J8" s="132">
        <v>20.470780000000001</v>
      </c>
      <c r="K8" s="133">
        <f t="shared" si="3"/>
        <v>0.10801793947616621</v>
      </c>
      <c r="L8" s="44">
        <f>B8-G8</f>
        <v>130.48722000000001</v>
      </c>
      <c r="M8" s="49">
        <f t="shared" si="5"/>
        <v>110.48722000000001</v>
      </c>
      <c r="N8" s="49">
        <f t="shared" si="5"/>
        <v>96.06874000000002</v>
      </c>
      <c r="O8" s="50">
        <f t="shared" si="5"/>
        <v>29.529219999999999</v>
      </c>
      <c r="P8" s="51">
        <f t="shared" si="4"/>
        <v>0.2672636708571362</v>
      </c>
    </row>
    <row r="9" spans="1:16" s="20" customFormat="1" ht="24.75" customHeight="1" x14ac:dyDescent="0.25">
      <c r="A9" s="43" t="s">
        <v>13</v>
      </c>
      <c r="B9" s="44">
        <v>400</v>
      </c>
      <c r="C9" s="45">
        <v>360</v>
      </c>
      <c r="D9" s="45">
        <v>360</v>
      </c>
      <c r="E9" s="46">
        <v>65</v>
      </c>
      <c r="F9" s="47">
        <f t="shared" si="0"/>
        <v>0.18055555555555555</v>
      </c>
      <c r="G9" s="127">
        <f>H9</f>
        <v>173.19020999999998</v>
      </c>
      <c r="H9" s="128">
        <v>173.19020999999998</v>
      </c>
      <c r="I9" s="128">
        <v>173.44783999999999</v>
      </c>
      <c r="J9" s="129">
        <v>30.256089999999997</v>
      </c>
      <c r="K9" s="130">
        <f t="shared" si="3"/>
        <v>0.17469861604763917</v>
      </c>
      <c r="L9" s="44">
        <f>B9-G9</f>
        <v>226.80979000000002</v>
      </c>
      <c r="M9" s="45">
        <f t="shared" si="5"/>
        <v>186.80979000000002</v>
      </c>
      <c r="N9" s="45">
        <f t="shared" si="5"/>
        <v>186.55216000000001</v>
      </c>
      <c r="O9" s="46">
        <f t="shared" si="5"/>
        <v>34.74391</v>
      </c>
      <c r="P9" s="47">
        <f t="shared" si="4"/>
        <v>0.18598548823378044</v>
      </c>
    </row>
    <row r="10" spans="1:16" s="20" customFormat="1" ht="24.75" customHeight="1" x14ac:dyDescent="0.25">
      <c r="A10" s="39" t="s">
        <v>16</v>
      </c>
      <c r="B10" s="41">
        <f>SUM(B11:B14)</f>
        <v>1570</v>
      </c>
      <c r="C10" s="41">
        <f>SUM(C11:C14)</f>
        <v>1480</v>
      </c>
      <c r="D10" s="41">
        <f>SUM(D11:D14)</f>
        <v>1480</v>
      </c>
      <c r="E10" s="41">
        <f>SUM(E11:E14)</f>
        <v>127.6</v>
      </c>
      <c r="F10" s="42">
        <f t="shared" si="0"/>
        <v>8.621621621621621E-2</v>
      </c>
      <c r="G10" s="125">
        <f>SUM(G11:G14)</f>
        <v>758.46406000000002</v>
      </c>
      <c r="H10" s="125">
        <f>SUM(H11:H14)</f>
        <v>643.74405999999999</v>
      </c>
      <c r="I10" s="125">
        <f>SUM(I11:I14)</f>
        <v>645.35556000000008</v>
      </c>
      <c r="J10" s="125">
        <f>SUM(J11:J14)</f>
        <v>21.566219999999937</v>
      </c>
      <c r="K10" s="126">
        <f t="shared" si="3"/>
        <v>3.3501233393904928E-2</v>
      </c>
      <c r="L10" s="41">
        <f>SUM(L11:L14)</f>
        <v>811.5359400000001</v>
      </c>
      <c r="M10" s="41">
        <f>SUM(M11:M14)</f>
        <v>836.25594000000001</v>
      </c>
      <c r="N10" s="41">
        <f>SUM(N11:N14)</f>
        <v>834.64444000000003</v>
      </c>
      <c r="O10" s="41">
        <f>SUM(O11:O14)</f>
        <v>106.03378000000006</v>
      </c>
      <c r="P10" s="42">
        <f t="shared" si="4"/>
        <v>0.12679584673562985</v>
      </c>
    </row>
    <row r="11" spans="1:16" s="20" customFormat="1" ht="24.75" customHeight="1" x14ac:dyDescent="0.25">
      <c r="A11" s="197" t="s">
        <v>36</v>
      </c>
      <c r="B11" s="53">
        <f>C11</f>
        <v>220</v>
      </c>
      <c r="C11" s="54">
        <v>220</v>
      </c>
      <c r="D11" s="54">
        <v>220</v>
      </c>
      <c r="E11" s="55">
        <v>15</v>
      </c>
      <c r="F11" s="56">
        <f t="shared" si="0"/>
        <v>6.8181818181818177E-2</v>
      </c>
      <c r="G11" s="134">
        <f>H11</f>
        <v>105.96248999999999</v>
      </c>
      <c r="H11" s="135">
        <v>105.96248999999999</v>
      </c>
      <c r="I11" s="135">
        <v>105.20310000000001</v>
      </c>
      <c r="J11" s="136">
        <v>7.1412299999999966</v>
      </c>
      <c r="K11" s="137">
        <f t="shared" si="3"/>
        <v>6.7393942894320408E-2</v>
      </c>
      <c r="L11" s="53">
        <f>B11-G11</f>
        <v>114.03751000000001</v>
      </c>
      <c r="M11" s="54">
        <f t="shared" ref="M11:O14" si="6">C11-H11</f>
        <v>114.03751000000001</v>
      </c>
      <c r="N11" s="54">
        <f t="shared" si="6"/>
        <v>114.79689999999999</v>
      </c>
      <c r="O11" s="55">
        <f t="shared" si="6"/>
        <v>7.8587700000000034</v>
      </c>
      <c r="P11" s="56">
        <f t="shared" si="4"/>
        <v>6.8913903854968442E-2</v>
      </c>
    </row>
    <row r="12" spans="1:16" s="20" customFormat="1" ht="24.75" customHeight="1" x14ac:dyDescent="0.25">
      <c r="A12" s="52" t="s">
        <v>33</v>
      </c>
      <c r="B12" s="53">
        <f>C12</f>
        <v>200</v>
      </c>
      <c r="C12" s="54">
        <v>200</v>
      </c>
      <c r="D12" s="54">
        <v>200</v>
      </c>
      <c r="E12" s="55">
        <v>2</v>
      </c>
      <c r="F12" s="56">
        <f t="shared" si="0"/>
        <v>0.01</v>
      </c>
      <c r="G12" s="134">
        <f>H12</f>
        <v>64.851569999999995</v>
      </c>
      <c r="H12" s="135">
        <v>64.851569999999995</v>
      </c>
      <c r="I12" s="135">
        <v>64.256110000000007</v>
      </c>
      <c r="J12" s="136">
        <v>-33.983270000000005</v>
      </c>
      <c r="K12" s="137">
        <f t="shared" si="3"/>
        <v>-0.52401614949337394</v>
      </c>
      <c r="L12" s="53">
        <f>B12-G12</f>
        <v>135.14843000000002</v>
      </c>
      <c r="M12" s="54">
        <f t="shared" si="6"/>
        <v>135.14843000000002</v>
      </c>
      <c r="N12" s="54">
        <f t="shared" si="6"/>
        <v>135.74388999999999</v>
      </c>
      <c r="O12" s="55">
        <f t="shared" si="6"/>
        <v>35.983270000000005</v>
      </c>
      <c r="P12" s="56">
        <f t="shared" si="4"/>
        <v>0.26625000379212693</v>
      </c>
    </row>
    <row r="13" spans="1:16" s="20" customFormat="1" ht="24.75" customHeight="1" x14ac:dyDescent="0.25">
      <c r="A13" s="52" t="s">
        <v>37</v>
      </c>
      <c r="B13" s="53">
        <v>550</v>
      </c>
      <c r="C13" s="54">
        <v>460</v>
      </c>
      <c r="D13" s="54">
        <v>460</v>
      </c>
      <c r="E13" s="55">
        <v>33</v>
      </c>
      <c r="F13" s="56">
        <f t="shared" si="0"/>
        <v>7.1739130434782611E-2</v>
      </c>
      <c r="G13" s="134">
        <v>90</v>
      </c>
      <c r="H13" s="135">
        <f>10880/1000</f>
        <v>10.88</v>
      </c>
      <c r="I13" s="135"/>
      <c r="J13" s="136">
        <v>-9.8622000000000014</v>
      </c>
      <c r="K13" s="137">
        <f t="shared" si="3"/>
        <v>-0.90645220588235298</v>
      </c>
      <c r="L13" s="53">
        <f>B13-G13</f>
        <v>460</v>
      </c>
      <c r="M13" s="54">
        <f t="shared" si="6"/>
        <v>449.12</v>
      </c>
      <c r="N13" s="54">
        <f t="shared" si="6"/>
        <v>460</v>
      </c>
      <c r="O13" s="55">
        <f t="shared" si="6"/>
        <v>42.862200000000001</v>
      </c>
      <c r="P13" s="56">
        <f t="shared" si="4"/>
        <v>9.5435963662272888E-2</v>
      </c>
    </row>
    <row r="14" spans="1:16" s="20" customFormat="1" ht="24.75" customHeight="1" x14ac:dyDescent="0.25">
      <c r="A14" s="52" t="s">
        <v>17</v>
      </c>
      <c r="B14" s="53">
        <f>C14</f>
        <v>600</v>
      </c>
      <c r="C14" s="54">
        <v>600</v>
      </c>
      <c r="D14" s="54">
        <v>600</v>
      </c>
      <c r="E14" s="113">
        <v>77.599999999999994</v>
      </c>
      <c r="F14" s="56">
        <f t="shared" si="0"/>
        <v>0.12933333333333333</v>
      </c>
      <c r="G14" s="134">
        <v>497.65</v>
      </c>
      <c r="H14" s="135">
        <v>462.05</v>
      </c>
      <c r="I14" s="135">
        <v>475.89635000000004</v>
      </c>
      <c r="J14" s="136">
        <v>58.27045999999995</v>
      </c>
      <c r="K14" s="137">
        <f t="shared" si="3"/>
        <v>0.12611288821556096</v>
      </c>
      <c r="L14" s="53">
        <f>B14-G14</f>
        <v>102.35000000000002</v>
      </c>
      <c r="M14" s="54">
        <f t="shared" si="6"/>
        <v>137.94999999999999</v>
      </c>
      <c r="N14" s="54">
        <f t="shared" si="6"/>
        <v>124.10364999999996</v>
      </c>
      <c r="O14" s="55">
        <f t="shared" si="6"/>
        <v>19.329540000000044</v>
      </c>
      <c r="P14" s="56">
        <f t="shared" si="4"/>
        <v>0.14011989851395465</v>
      </c>
    </row>
    <row r="15" spans="1:16" s="20" customFormat="1" ht="24.75" customHeight="1" x14ac:dyDescent="0.25">
      <c r="A15" s="39" t="s">
        <v>31</v>
      </c>
      <c r="B15" s="41">
        <f>SUM(B16:B20)</f>
        <v>290</v>
      </c>
      <c r="C15" s="41">
        <f>SUM(C16:C20)</f>
        <v>250</v>
      </c>
      <c r="D15" s="41">
        <f>SUM(D16:D20)</f>
        <v>250</v>
      </c>
      <c r="E15" s="41">
        <f>SUM(E16:E20)</f>
        <v>20</v>
      </c>
      <c r="F15" s="42">
        <f t="shared" si="0"/>
        <v>0.08</v>
      </c>
      <c r="G15" s="125">
        <f>SUM(G16:G20)</f>
        <v>124.805773</v>
      </c>
      <c r="H15" s="125">
        <f>SUM(H16:H20)</f>
        <v>124.805773</v>
      </c>
      <c r="I15" s="125">
        <f>SUM(I16:I20)</f>
        <v>108.82361900000001</v>
      </c>
      <c r="J15" s="125">
        <f>SUM(J16:J20)</f>
        <v>-23.357299999999967</v>
      </c>
      <c r="K15" s="126">
        <f t="shared" si="3"/>
        <v>-0.18714919541422148</v>
      </c>
      <c r="L15" s="41">
        <f>SUM(L16:L20)</f>
        <v>165.19422700000001</v>
      </c>
      <c r="M15" s="41">
        <f>SUM(M16:M20)</f>
        <v>125.19422700000001</v>
      </c>
      <c r="N15" s="41">
        <f>SUM(N16:N20)</f>
        <v>141.17638099999999</v>
      </c>
      <c r="O15" s="41">
        <f>SUM(O16:O20)</f>
        <v>43.357299999999967</v>
      </c>
      <c r="P15" s="42">
        <f t="shared" si="4"/>
        <v>0.34632028200469628</v>
      </c>
    </row>
    <row r="16" spans="1:16" s="20" customFormat="1" ht="24.75" customHeight="1" x14ac:dyDescent="0.25">
      <c r="A16" s="52" t="s">
        <v>38</v>
      </c>
      <c r="B16" s="53">
        <f>C16</f>
        <v>60</v>
      </c>
      <c r="C16" s="54">
        <v>60</v>
      </c>
      <c r="D16" s="54">
        <v>60</v>
      </c>
      <c r="E16" s="55">
        <v>3</v>
      </c>
      <c r="F16" s="56">
        <f t="shared" si="0"/>
        <v>0.05</v>
      </c>
      <c r="G16" s="134">
        <f>H16</f>
        <v>53.588000000000001</v>
      </c>
      <c r="H16" s="135">
        <v>53.588000000000001</v>
      </c>
      <c r="I16" s="135">
        <v>44.341000000000001</v>
      </c>
      <c r="J16" s="136">
        <v>2.9910000000000014</v>
      </c>
      <c r="K16" s="137">
        <f t="shared" si="3"/>
        <v>5.5814734642084071E-2</v>
      </c>
      <c r="L16" s="53">
        <f>B16-G16</f>
        <v>6.411999999999999</v>
      </c>
      <c r="M16" s="54">
        <f t="shared" ref="M16:O20" si="7">C16-H16</f>
        <v>6.411999999999999</v>
      </c>
      <c r="N16" s="54">
        <f t="shared" si="7"/>
        <v>15.658999999999999</v>
      </c>
      <c r="O16" s="55">
        <f t="shared" si="7"/>
        <v>8.9999999999985647E-3</v>
      </c>
      <c r="P16" s="56">
        <f t="shared" si="4"/>
        <v>1.4036182158450664E-3</v>
      </c>
    </row>
    <row r="17" spans="1:16" s="20" customFormat="1" ht="24.75" customHeight="1" x14ac:dyDescent="0.25">
      <c r="A17" s="52" t="s">
        <v>3</v>
      </c>
      <c r="B17" s="53">
        <f>C17</f>
        <v>60</v>
      </c>
      <c r="C17" s="54">
        <v>60</v>
      </c>
      <c r="D17" s="54">
        <v>60</v>
      </c>
      <c r="E17" s="55">
        <v>6</v>
      </c>
      <c r="F17" s="56">
        <f t="shared" si="0"/>
        <v>0.1</v>
      </c>
      <c r="G17" s="134">
        <f>H17</f>
        <v>15.449669999999999</v>
      </c>
      <c r="H17" s="135">
        <v>15.449669999999999</v>
      </c>
      <c r="I17" s="135">
        <v>14.249670000000002</v>
      </c>
      <c r="J17" s="136">
        <v>-11.050369999999996</v>
      </c>
      <c r="K17" s="137">
        <f t="shared" si="3"/>
        <v>-0.71524958138264416</v>
      </c>
      <c r="L17" s="53">
        <f>B17-G17</f>
        <v>44.550330000000002</v>
      </c>
      <c r="M17" s="54">
        <f t="shared" si="7"/>
        <v>44.550330000000002</v>
      </c>
      <c r="N17" s="54">
        <f t="shared" si="7"/>
        <v>45.750329999999998</v>
      </c>
      <c r="O17" s="55">
        <f t="shared" si="7"/>
        <v>17.050369999999994</v>
      </c>
      <c r="P17" s="56">
        <f t="shared" si="4"/>
        <v>0.38272151968346796</v>
      </c>
    </row>
    <row r="18" spans="1:16" s="20" customFormat="1" ht="24.75" customHeight="1" x14ac:dyDescent="0.25">
      <c r="A18" s="52" t="s">
        <v>39</v>
      </c>
      <c r="B18" s="44">
        <f>C18</f>
        <v>20</v>
      </c>
      <c r="C18" s="45">
        <v>20</v>
      </c>
      <c r="D18" s="45">
        <v>20</v>
      </c>
      <c r="E18" s="46">
        <v>2</v>
      </c>
      <c r="F18" s="56">
        <f t="shared" si="0"/>
        <v>0.1</v>
      </c>
      <c r="G18" s="134">
        <f t="shared" ref="G18:G20" si="8">H18</f>
        <v>14.5</v>
      </c>
      <c r="H18" s="128">
        <v>14.5</v>
      </c>
      <c r="I18" s="128">
        <v>0</v>
      </c>
      <c r="J18" s="129">
        <v>0.6147600000000002</v>
      </c>
      <c r="K18" s="137">
        <f t="shared" si="3"/>
        <v>4.2397241379310356E-2</v>
      </c>
      <c r="L18" s="44">
        <f>B18-G18</f>
        <v>5.5</v>
      </c>
      <c r="M18" s="45">
        <f t="shared" si="7"/>
        <v>5.5</v>
      </c>
      <c r="N18" s="45">
        <f t="shared" si="7"/>
        <v>20</v>
      </c>
      <c r="O18" s="46">
        <f t="shared" si="7"/>
        <v>1.3852399999999998</v>
      </c>
      <c r="P18" s="56">
        <f t="shared" si="4"/>
        <v>0.25186181818181813</v>
      </c>
    </row>
    <row r="19" spans="1:16" s="20" customFormat="1" ht="24.75" customHeight="1" x14ac:dyDescent="0.25">
      <c r="A19" s="52" t="s">
        <v>40</v>
      </c>
      <c r="B19" s="44">
        <f>C19</f>
        <v>10</v>
      </c>
      <c r="C19" s="45">
        <v>10</v>
      </c>
      <c r="D19" s="45">
        <v>10</v>
      </c>
      <c r="E19" s="46">
        <v>1</v>
      </c>
      <c r="F19" s="56">
        <f t="shared" si="0"/>
        <v>0.1</v>
      </c>
      <c r="G19" s="134">
        <f t="shared" si="8"/>
        <v>2.5213599999999996</v>
      </c>
      <c r="H19" s="128">
        <v>2.5213599999999996</v>
      </c>
      <c r="I19" s="128">
        <v>2.7588599999999999</v>
      </c>
      <c r="J19" s="129">
        <v>0.26156000000000001</v>
      </c>
      <c r="K19" s="137">
        <f t="shared" si="3"/>
        <v>0.10373766538693406</v>
      </c>
      <c r="L19" s="44">
        <f>B19-G19</f>
        <v>7.4786400000000004</v>
      </c>
      <c r="M19" s="45">
        <f t="shared" si="7"/>
        <v>7.4786400000000004</v>
      </c>
      <c r="N19" s="45">
        <f t="shared" si="7"/>
        <v>7.2411399999999997</v>
      </c>
      <c r="O19" s="46">
        <f t="shared" si="7"/>
        <v>0.73843999999999999</v>
      </c>
      <c r="P19" s="56">
        <f t="shared" si="4"/>
        <v>9.8739877838751419E-2</v>
      </c>
    </row>
    <row r="20" spans="1:16" s="20" customFormat="1" ht="24.75" customHeight="1" x14ac:dyDescent="0.25">
      <c r="A20" s="52" t="s">
        <v>41</v>
      </c>
      <c r="B20" s="57">
        <v>140</v>
      </c>
      <c r="C20" s="58">
        <v>100</v>
      </c>
      <c r="D20" s="58">
        <v>100</v>
      </c>
      <c r="E20" s="59">
        <v>8</v>
      </c>
      <c r="F20" s="56">
        <f t="shared" si="0"/>
        <v>0.08</v>
      </c>
      <c r="G20" s="134">
        <f t="shared" si="8"/>
        <v>38.746742999999995</v>
      </c>
      <c r="H20" s="138">
        <v>38.746742999999995</v>
      </c>
      <c r="I20" s="138">
        <v>47.474089000000006</v>
      </c>
      <c r="J20" s="139">
        <v>-16.174249999999972</v>
      </c>
      <c r="K20" s="137">
        <f t="shared" si="3"/>
        <v>-0.41743508609226782</v>
      </c>
      <c r="L20" s="57">
        <f>B20-G20</f>
        <v>101.253257</v>
      </c>
      <c r="M20" s="58">
        <f t="shared" si="7"/>
        <v>61.253257000000005</v>
      </c>
      <c r="N20" s="58">
        <f t="shared" si="7"/>
        <v>52.525910999999994</v>
      </c>
      <c r="O20" s="59">
        <f t="shared" si="7"/>
        <v>24.174249999999972</v>
      </c>
      <c r="P20" s="56">
        <f t="shared" si="4"/>
        <v>0.39466064637183246</v>
      </c>
    </row>
    <row r="21" spans="1:16" s="20" customFormat="1" ht="24.75" customHeight="1" x14ac:dyDescent="0.25">
      <c r="A21" s="39" t="s">
        <v>29</v>
      </c>
      <c r="B21" s="41">
        <f>SUM(B22)</f>
        <v>220</v>
      </c>
      <c r="C21" s="41">
        <f>SUM(C22)</f>
        <v>160</v>
      </c>
      <c r="D21" s="41">
        <f>SUM(D22)</f>
        <v>160</v>
      </c>
      <c r="E21" s="41">
        <f>SUM(E22)</f>
        <v>20</v>
      </c>
      <c r="F21" s="42">
        <f t="shared" si="0"/>
        <v>0.125</v>
      </c>
      <c r="G21" s="125">
        <f>SUM(G22)</f>
        <v>198.55224999999999</v>
      </c>
      <c r="H21" s="125">
        <f>SUM(H22)</f>
        <v>198.55224999999999</v>
      </c>
      <c r="I21" s="125">
        <f>SUM(I22)</f>
        <v>155.75425000000001</v>
      </c>
      <c r="J21" s="125">
        <f>SUM(J22)</f>
        <v>64.107889999999983</v>
      </c>
      <c r="K21" s="126">
        <f t="shared" si="3"/>
        <v>0.32287667352044608</v>
      </c>
      <c r="L21" s="41">
        <f>SUM(L22)</f>
        <v>21.447750000000013</v>
      </c>
      <c r="M21" s="41">
        <f>SUM(M22)</f>
        <v>-38.552249999999987</v>
      </c>
      <c r="N21" s="41">
        <f>SUM(N22)</f>
        <v>4.2457499999999868</v>
      </c>
      <c r="O21" s="41">
        <f>SUM(O22)</f>
        <v>-44.107889999999983</v>
      </c>
      <c r="P21" s="42">
        <f t="shared" si="4"/>
        <v>1.1441067641966423</v>
      </c>
    </row>
    <row r="22" spans="1:16" s="20" customFormat="1" ht="24.75" customHeight="1" x14ac:dyDescent="0.25">
      <c r="A22" s="52" t="s">
        <v>85</v>
      </c>
      <c r="B22" s="60">
        <v>220</v>
      </c>
      <c r="C22" s="61">
        <v>160</v>
      </c>
      <c r="D22" s="61">
        <v>160</v>
      </c>
      <c r="E22" s="112">
        <v>20</v>
      </c>
      <c r="F22" s="56">
        <f t="shared" si="0"/>
        <v>0.125</v>
      </c>
      <c r="G22" s="140">
        <f>H22</f>
        <v>198.55224999999999</v>
      </c>
      <c r="H22" s="141">
        <v>198.55224999999999</v>
      </c>
      <c r="I22" s="141">
        <v>155.75425000000001</v>
      </c>
      <c r="J22" s="142">
        <v>64.107889999999983</v>
      </c>
      <c r="K22" s="137">
        <f t="shared" si="3"/>
        <v>0.32287667352044608</v>
      </c>
      <c r="L22" s="60">
        <f>B22-G22</f>
        <v>21.447750000000013</v>
      </c>
      <c r="M22" s="61">
        <f t="shared" ref="M22:O22" si="9">C22-H22</f>
        <v>-38.552249999999987</v>
      </c>
      <c r="N22" s="61">
        <f t="shared" si="9"/>
        <v>4.2457499999999868</v>
      </c>
      <c r="O22" s="62">
        <f t="shared" si="9"/>
        <v>-44.107889999999983</v>
      </c>
      <c r="P22" s="56">
        <f t="shared" si="4"/>
        <v>1.1441067641966423</v>
      </c>
    </row>
    <row r="23" spans="1:16" s="20" customFormat="1" ht="24.75" customHeight="1" x14ac:dyDescent="0.25">
      <c r="A23" s="39"/>
      <c r="B23" s="41"/>
      <c r="C23" s="41"/>
      <c r="D23" s="41"/>
      <c r="E23" s="41"/>
      <c r="F23" s="42"/>
      <c r="G23" s="125"/>
      <c r="H23" s="125"/>
      <c r="I23" s="125"/>
      <c r="J23" s="125"/>
      <c r="K23" s="126"/>
      <c r="L23" s="41"/>
      <c r="M23" s="41"/>
      <c r="N23" s="41"/>
      <c r="O23" s="41"/>
      <c r="P23" s="42"/>
    </row>
    <row r="24" spans="1:16" s="20" customFormat="1" ht="24.6" customHeight="1" x14ac:dyDescent="0.25">
      <c r="A24" s="108" t="s">
        <v>64</v>
      </c>
      <c r="B24" s="63"/>
      <c r="C24" s="64"/>
      <c r="D24" s="64"/>
      <c r="E24" s="64">
        <f>E6+E10+E15+E21</f>
        <v>312.60000000000002</v>
      </c>
      <c r="F24" s="65">
        <f>E24/C$32</f>
        <v>0.1042</v>
      </c>
      <c r="G24" s="143"/>
      <c r="H24" s="144"/>
      <c r="I24" s="144"/>
      <c r="J24" s="144">
        <f>J6+J10+J15+J21+10</f>
        <v>138.19863999999998</v>
      </c>
      <c r="K24" s="145">
        <f>J24/H$32</f>
        <v>8.1542276145101081E-2</v>
      </c>
      <c r="L24" s="63"/>
      <c r="M24" s="64"/>
      <c r="N24" s="64"/>
      <c r="O24" s="64">
        <f>O6+O10+O15+O21</f>
        <v>184.40136000000001</v>
      </c>
      <c r="P24" s="65">
        <f>O24/M$32</f>
        <v>0.141283120944906</v>
      </c>
    </row>
    <row r="25" spans="1:16" s="1" customFormat="1" ht="30" customHeight="1" x14ac:dyDescent="0.25">
      <c r="A25" s="109" t="s">
        <v>65</v>
      </c>
      <c r="B25" s="28">
        <v>0.13</v>
      </c>
      <c r="C25" s="30"/>
      <c r="D25" s="30"/>
      <c r="E25" s="110">
        <f>(C32-C5)*B25</f>
        <v>-13</v>
      </c>
      <c r="F25" s="16">
        <f t="shared" ref="F25:F30" si="10">E25/$C$32</f>
        <v>-4.3333333333333331E-3</v>
      </c>
      <c r="G25" s="146">
        <f t="shared" ref="G25:G28" si="11">H25</f>
        <v>0</v>
      </c>
      <c r="H25" s="147"/>
      <c r="I25" s="147"/>
      <c r="J25" s="148">
        <v>57.31</v>
      </c>
      <c r="K25" s="149">
        <f>J25/H$32</f>
        <v>3.3815006036786929E-2</v>
      </c>
      <c r="L25" s="28">
        <f t="shared" ref="L25:L28" si="12">M25</f>
        <v>0</v>
      </c>
      <c r="M25" s="30"/>
      <c r="N25" s="30"/>
      <c r="O25" s="110">
        <f>E25-J25</f>
        <v>-70.31</v>
      </c>
      <c r="P25" s="16">
        <f>O25/$M$32</f>
        <v>-5.3869538888630435E-2</v>
      </c>
    </row>
    <row r="26" spans="1:16" s="1" customFormat="1" ht="30" customHeight="1" x14ac:dyDescent="0.25">
      <c r="A26" s="109" t="s">
        <v>66</v>
      </c>
      <c r="B26" s="28"/>
      <c r="C26" s="30"/>
      <c r="D26" s="30"/>
      <c r="E26" s="29"/>
      <c r="F26" s="16">
        <f t="shared" si="10"/>
        <v>0</v>
      </c>
      <c r="G26" s="146">
        <f t="shared" si="11"/>
        <v>0</v>
      </c>
      <c r="H26" s="147"/>
      <c r="I26" s="147"/>
      <c r="J26" s="150">
        <v>-4.62</v>
      </c>
      <c r="K26" s="149">
        <f t="shared" ref="K26:K31" si="13">J26/H$32</f>
        <v>-2.7259697764780251E-3</v>
      </c>
      <c r="L26" s="28">
        <f t="shared" si="12"/>
        <v>0</v>
      </c>
      <c r="M26" s="30"/>
      <c r="N26" s="30"/>
      <c r="O26" s="29">
        <f>E26-J26</f>
        <v>4.62</v>
      </c>
      <c r="P26" s="16">
        <f t="shared" ref="P26:P30" si="14">O26/$M$32</f>
        <v>3.539713691729094E-3</v>
      </c>
    </row>
    <row r="27" spans="1:16" s="1" customFormat="1" ht="30" customHeight="1" x14ac:dyDescent="0.25">
      <c r="A27" s="109" t="s">
        <v>67</v>
      </c>
      <c r="B27" s="28"/>
      <c r="C27" s="30"/>
      <c r="D27" s="30"/>
      <c r="E27" s="29">
        <v>23.8</v>
      </c>
      <c r="F27" s="16">
        <f t="shared" si="10"/>
        <v>7.9333333333333339E-3</v>
      </c>
      <c r="G27" s="146">
        <f t="shared" si="11"/>
        <v>0</v>
      </c>
      <c r="H27" s="147"/>
      <c r="I27" s="147"/>
      <c r="J27" s="150">
        <v>-7.33</v>
      </c>
      <c r="K27" s="149">
        <f>J27/H$32</f>
        <v>-4.3249693639792041E-3</v>
      </c>
      <c r="L27" s="28">
        <f t="shared" si="12"/>
        <v>0</v>
      </c>
      <c r="M27" s="30"/>
      <c r="N27" s="30"/>
      <c r="O27" s="29">
        <f>E27-J27</f>
        <v>31.130000000000003</v>
      </c>
      <c r="P27" s="16">
        <f t="shared" si="14"/>
        <v>2.3850927970460328E-2</v>
      </c>
    </row>
    <row r="28" spans="1:16" s="1" customFormat="1" ht="30" customHeight="1" x14ac:dyDescent="0.25">
      <c r="A28" s="109" t="s">
        <v>68</v>
      </c>
      <c r="B28" s="28"/>
      <c r="C28" s="30"/>
      <c r="D28" s="30"/>
      <c r="E28" s="29">
        <v>-36.4</v>
      </c>
      <c r="F28" s="16">
        <f>E28/$C$32</f>
        <v>-1.2133333333333333E-2</v>
      </c>
      <c r="G28" s="146">
        <f t="shared" si="11"/>
        <v>0</v>
      </c>
      <c r="H28" s="147"/>
      <c r="I28" s="147"/>
      <c r="J28" s="150">
        <v>-14.24</v>
      </c>
      <c r="K28" s="149">
        <f>J28/H$32</f>
        <v>-8.4021232937331342E-3</v>
      </c>
      <c r="L28" s="28">
        <f t="shared" si="12"/>
        <v>0</v>
      </c>
      <c r="M28" s="30"/>
      <c r="N28" s="30"/>
      <c r="O28" s="29">
        <f>E28-J28</f>
        <v>-22.159999999999997</v>
      </c>
      <c r="P28" s="16">
        <f t="shared" si="14"/>
        <v>-1.6978366971583704E-2</v>
      </c>
    </row>
    <row r="29" spans="1:16" s="1" customFormat="1" ht="30" customHeight="1" x14ac:dyDescent="0.25">
      <c r="A29" s="109" t="s">
        <v>69</v>
      </c>
      <c r="B29" s="28"/>
      <c r="C29" s="30"/>
      <c r="D29" s="30"/>
      <c r="E29" s="29"/>
      <c r="F29" s="16">
        <f t="shared" si="10"/>
        <v>0</v>
      </c>
      <c r="G29" s="146">
        <f>SUM(G30:G30)</f>
        <v>0</v>
      </c>
      <c r="H29" s="147">
        <f>SUM(H30:H30)</f>
        <v>0</v>
      </c>
      <c r="I29" s="147">
        <f>SUM(I30:I30)</f>
        <v>0</v>
      </c>
      <c r="J29" s="150">
        <v>11</v>
      </c>
      <c r="K29" s="149">
        <f>J29/H$32</f>
        <v>6.4904042297095838E-3</v>
      </c>
      <c r="L29" s="28">
        <f>SUM(L30:L30)</f>
        <v>0</v>
      </c>
      <c r="M29" s="30">
        <f>SUM(M30:M30)</f>
        <v>0</v>
      </c>
      <c r="N29" s="30">
        <f>SUM(N30:N30)</f>
        <v>0</v>
      </c>
      <c r="O29" s="29">
        <f>E29-J29</f>
        <v>-11</v>
      </c>
      <c r="P29" s="16">
        <f t="shared" si="14"/>
        <v>-8.4278897422121295E-3</v>
      </c>
    </row>
    <row r="30" spans="1:16" s="1" customFormat="1" ht="30" customHeight="1" x14ac:dyDescent="0.25">
      <c r="A30" s="109" t="s">
        <v>70</v>
      </c>
      <c r="B30" s="28"/>
      <c r="C30" s="30"/>
      <c r="D30" s="30"/>
      <c r="E30" s="29"/>
      <c r="F30" s="16">
        <f t="shared" si="10"/>
        <v>0</v>
      </c>
      <c r="G30" s="146">
        <f t="shared" ref="G30" si="15">H30</f>
        <v>0</v>
      </c>
      <c r="H30" s="147"/>
      <c r="I30" s="147"/>
      <c r="J30" s="150">
        <v>-6.72</v>
      </c>
      <c r="K30" s="149">
        <f>J30/H$32</f>
        <v>-3.9650469476044002E-3</v>
      </c>
      <c r="L30" s="28">
        <f t="shared" ref="L30" si="16">M30</f>
        <v>0</v>
      </c>
      <c r="M30" s="30"/>
      <c r="N30" s="30"/>
      <c r="O30" s="29"/>
      <c r="P30" s="16">
        <f t="shared" si="14"/>
        <v>0</v>
      </c>
    </row>
    <row r="31" spans="1:16" s="20" customFormat="1" ht="24.75" customHeight="1" x14ac:dyDescent="0.25">
      <c r="A31" s="66" t="s">
        <v>71</v>
      </c>
      <c r="B31" s="67"/>
      <c r="C31" s="68"/>
      <c r="D31" s="68"/>
      <c r="E31" s="69"/>
      <c r="F31" s="70">
        <f>E31/C$32</f>
        <v>0</v>
      </c>
      <c r="G31" s="151"/>
      <c r="H31" s="152"/>
      <c r="I31" s="152"/>
      <c r="J31" s="153">
        <v>0</v>
      </c>
      <c r="K31" s="133">
        <f t="shared" si="13"/>
        <v>0</v>
      </c>
      <c r="L31" s="67"/>
      <c r="M31" s="68"/>
      <c r="N31" s="68"/>
      <c r="O31" s="69"/>
      <c r="P31" s="70"/>
    </row>
    <row r="32" spans="1:16" s="20" customFormat="1" ht="29.85" customHeight="1" x14ac:dyDescent="0.25">
      <c r="A32" s="71" t="s">
        <v>42</v>
      </c>
      <c r="B32" s="72">
        <f>B6+B15+B10+B21</f>
        <v>3300</v>
      </c>
      <c r="C32" s="73">
        <f>C6+C15+C10+C21</f>
        <v>3000</v>
      </c>
      <c r="D32" s="73">
        <f>D6+D15+D10+D21</f>
        <v>3000</v>
      </c>
      <c r="E32" s="73">
        <f>E24+E25+E26+E27+E28+E29+E30</f>
        <v>287.00000000000006</v>
      </c>
      <c r="F32" s="74">
        <f>E32/C32</f>
        <v>9.5666666666666691E-2</v>
      </c>
      <c r="G32" s="154">
        <f>G6+G15+G10+G21</f>
        <v>1809.529693</v>
      </c>
      <c r="H32" s="155">
        <f>H6+H15+H10+H21</f>
        <v>1694.8096929999999</v>
      </c>
      <c r="I32" s="155">
        <f>I6+I15+I10+I21</f>
        <v>1609.599029</v>
      </c>
      <c r="J32" s="155">
        <f>J24+SUM(J25:J31)</f>
        <v>173.59863999999999</v>
      </c>
      <c r="K32" s="156">
        <f>J32/H32</f>
        <v>0.10242957702980283</v>
      </c>
      <c r="L32" s="72">
        <f>L6+L15+L10+L21</f>
        <v>1490.4703070000003</v>
      </c>
      <c r="M32" s="73">
        <f>M6+M15+M10+M21</f>
        <v>1305.1903070000001</v>
      </c>
      <c r="N32" s="73">
        <f>N6+N15+N10+N21</f>
        <v>1390.400971</v>
      </c>
      <c r="O32" s="73">
        <f>O6+O15+O10+O21</f>
        <v>184.40136000000001</v>
      </c>
      <c r="P32" s="74">
        <f>O32/M32</f>
        <v>0.141283120944906</v>
      </c>
    </row>
    <row r="33" spans="1:16" s="20" customFormat="1" ht="29.85" customHeight="1" x14ac:dyDescent="0.25">
      <c r="A33" s="75" t="s">
        <v>5</v>
      </c>
      <c r="B33" s="72">
        <f>B32/B5</f>
        <v>0.97058823529411764</v>
      </c>
      <c r="C33" s="73">
        <f>C32/C5</f>
        <v>0.967741935483871</v>
      </c>
      <c r="D33" s="73">
        <f>D32/D5</f>
        <v>0.967741935483871</v>
      </c>
      <c r="E33" s="73">
        <f>E32/E5</f>
        <v>0.85671641791044795</v>
      </c>
      <c r="F33" s="74"/>
      <c r="G33" s="154">
        <f>G32/G5</f>
        <v>1.2773150774117648</v>
      </c>
      <c r="H33" s="155">
        <f>H32/H5</f>
        <v>1.3121107300645163</v>
      </c>
      <c r="I33" s="155">
        <f>I32/I5</f>
        <v>1.2461411837419356</v>
      </c>
      <c r="J33" s="155">
        <f>J32/J5</f>
        <v>1.2436917492537312</v>
      </c>
      <c r="K33" s="156"/>
      <c r="L33" s="72">
        <f>L32/L5</f>
        <v>0.75149763378151269</v>
      </c>
      <c r="M33" s="73">
        <f>M32/M5</f>
        <v>0.72176422506912441</v>
      </c>
      <c r="N33" s="73">
        <f>N32/N5</f>
        <v>0.76888532958525335</v>
      </c>
      <c r="O33" s="73">
        <f>O32/O5</f>
        <v>0.94363169296375282</v>
      </c>
      <c r="P33" s="74"/>
    </row>
    <row r="34" spans="1:16" s="20" customFormat="1" ht="29.85" customHeight="1" x14ac:dyDescent="0.25">
      <c r="A34" s="35" t="s">
        <v>43</v>
      </c>
      <c r="B34" s="36">
        <f>B48</f>
        <v>1800</v>
      </c>
      <c r="C34" s="37">
        <v>1500</v>
      </c>
      <c r="D34" s="37">
        <v>1500</v>
      </c>
      <c r="E34" s="37">
        <v>150</v>
      </c>
      <c r="F34" s="38">
        <f>E34/C34</f>
        <v>0.1</v>
      </c>
      <c r="G34" s="121">
        <f>(B34/12)*$P$1</f>
        <v>750</v>
      </c>
      <c r="H34" s="122">
        <f>(C34/12)*$P$1</f>
        <v>625</v>
      </c>
      <c r="I34" s="122">
        <f t="shared" ref="I34" si="17">(D34/12)*$P$1</f>
        <v>625</v>
      </c>
      <c r="J34" s="122">
        <f>(E34/12)*$P$1</f>
        <v>62.5</v>
      </c>
      <c r="K34" s="123">
        <f>J34/H34</f>
        <v>0.1</v>
      </c>
      <c r="L34" s="36">
        <f>(G34/12)*$P$1</f>
        <v>312.5</v>
      </c>
      <c r="M34" s="37">
        <f>(H34/12)*$P$1</f>
        <v>260.41666666666669</v>
      </c>
      <c r="N34" s="37">
        <f>(I34/12)*$P$1</f>
        <v>260.41666666666669</v>
      </c>
      <c r="O34" s="37">
        <f>(J34/12)*$P$1</f>
        <v>26.041666666666664</v>
      </c>
      <c r="P34" s="38">
        <f>O34/M34</f>
        <v>9.9999999999999978E-2</v>
      </c>
    </row>
    <row r="35" spans="1:16" s="20" customFormat="1" ht="24.75" customHeight="1" x14ac:dyDescent="0.25">
      <c r="A35" s="39" t="s">
        <v>44</v>
      </c>
      <c r="B35" s="41">
        <v>1800</v>
      </c>
      <c r="C35" s="41">
        <v>1500</v>
      </c>
      <c r="D35" s="41">
        <v>1500</v>
      </c>
      <c r="E35" s="41">
        <v>150</v>
      </c>
      <c r="F35" s="42">
        <f>E35/C35</f>
        <v>0.1</v>
      </c>
      <c r="G35" s="125">
        <f t="shared" ref="G35:I35" si="18">SUM(G36:G38)</f>
        <v>412.01866999999993</v>
      </c>
      <c r="H35" s="125">
        <f t="shared" si="18"/>
        <v>298.29265999999996</v>
      </c>
      <c r="I35" s="125">
        <f t="shared" si="18"/>
        <v>316.46064000000001</v>
      </c>
      <c r="J35" s="125">
        <f>SUM(J36:J38)</f>
        <v>-27.099240000000002</v>
      </c>
      <c r="K35" s="126">
        <f>J35/H35</f>
        <v>-9.0847827097052955E-2</v>
      </c>
      <c r="L35" s="41">
        <f>SUM(L36:L39)</f>
        <v>1387.9813300000001</v>
      </c>
      <c r="M35" s="41">
        <f>SUM(M36:M39)</f>
        <v>1201.7073400000002</v>
      </c>
      <c r="N35" s="41">
        <f>SUM(N36:N39)</f>
        <v>1183.53936</v>
      </c>
      <c r="O35" s="41">
        <f>SUM(O36:O39)</f>
        <v>177.09924000000001</v>
      </c>
      <c r="P35" s="42">
        <f>O35/M35</f>
        <v>0.14737302012318573</v>
      </c>
    </row>
    <row r="36" spans="1:16" s="20" customFormat="1" ht="24.75" customHeight="1" x14ac:dyDescent="0.25">
      <c r="A36" s="52" t="s">
        <v>45</v>
      </c>
      <c r="B36" s="53">
        <v>1000</v>
      </c>
      <c r="C36" s="54">
        <v>750</v>
      </c>
      <c r="D36" s="54">
        <v>750</v>
      </c>
      <c r="E36" s="55">
        <v>75</v>
      </c>
      <c r="F36" s="56">
        <f>E36/C36</f>
        <v>0.1</v>
      </c>
      <c r="G36" s="134">
        <f>H36</f>
        <v>247.56590121352909</v>
      </c>
      <c r="H36" s="135">
        <v>247.56590121352909</v>
      </c>
      <c r="I36" s="135">
        <v>277.14370229045869</v>
      </c>
      <c r="J36" s="136">
        <v>-24.555346400000001</v>
      </c>
      <c r="K36" s="137">
        <f>J36/H36</f>
        <v>-9.9187110501218298E-2</v>
      </c>
      <c r="L36" s="53">
        <f>B36-G36</f>
        <v>752.43409878647094</v>
      </c>
      <c r="M36" s="54">
        <f t="shared" ref="M36:M39" si="19">C36-H36</f>
        <v>502.43409878647094</v>
      </c>
      <c r="N36" s="54">
        <f t="shared" ref="N36:N39" si="20">D36-I36</f>
        <v>472.85629770954131</v>
      </c>
      <c r="O36" s="55">
        <f t="shared" ref="O36:O39" si="21">E36-J36</f>
        <v>99.555346400000005</v>
      </c>
      <c r="P36" s="56">
        <f>O36/M36</f>
        <v>0.19814607854135702</v>
      </c>
    </row>
    <row r="37" spans="1:16" s="20" customFormat="1" ht="24.75" customHeight="1" x14ac:dyDescent="0.25">
      <c r="A37" s="52" t="s">
        <v>75</v>
      </c>
      <c r="B37" s="53">
        <v>800</v>
      </c>
      <c r="C37" s="54">
        <v>750</v>
      </c>
      <c r="D37" s="54">
        <v>750</v>
      </c>
      <c r="E37" s="55">
        <v>75</v>
      </c>
      <c r="F37" s="56">
        <f>E37/C37</f>
        <v>0.1</v>
      </c>
      <c r="G37" s="134">
        <v>98.45276878647087</v>
      </c>
      <c r="H37" s="135">
        <v>24.452768786470862</v>
      </c>
      <c r="I37" s="135">
        <v>27.390069419541327</v>
      </c>
      <c r="J37" s="136">
        <v>-3.7938936000000001</v>
      </c>
      <c r="K37" s="137">
        <f>J37/H37</f>
        <v>-0.15515190255669825</v>
      </c>
      <c r="L37" s="53">
        <f>B37-G37</f>
        <v>701.54723121352913</v>
      </c>
      <c r="M37" s="54">
        <f t="shared" ref="M37" si="22">C37-H37</f>
        <v>725.54723121352913</v>
      </c>
      <c r="N37" s="54">
        <f t="shared" ref="N37" si="23">D37-I37</f>
        <v>722.60993058045869</v>
      </c>
      <c r="O37" s="55">
        <f t="shared" ref="O37" si="24">E37-J37</f>
        <v>78.793893600000004</v>
      </c>
      <c r="P37" s="56">
        <f>O37/M37</f>
        <v>0.10859926164725574</v>
      </c>
    </row>
    <row r="38" spans="1:16" s="20" customFormat="1" ht="24.75" customHeight="1" x14ac:dyDescent="0.25">
      <c r="A38" s="52" t="s">
        <v>74</v>
      </c>
      <c r="B38" s="53"/>
      <c r="C38" s="54"/>
      <c r="D38" s="54"/>
      <c r="E38" s="55"/>
      <c r="F38" s="56" t="e">
        <f>E38/C38</f>
        <v>#DIV/0!</v>
      </c>
      <c r="G38" s="134">
        <v>66</v>
      </c>
      <c r="H38" s="135">
        <v>26.273990000000001</v>
      </c>
      <c r="I38" s="135">
        <v>11.92686829</v>
      </c>
      <c r="J38" s="136">
        <v>1.25</v>
      </c>
      <c r="K38" s="137">
        <f>J38/H38</f>
        <v>4.7575568080828225E-2</v>
      </c>
      <c r="L38" s="53">
        <f>B38-G38</f>
        <v>-66</v>
      </c>
      <c r="M38" s="54">
        <f t="shared" si="19"/>
        <v>-26.273990000000001</v>
      </c>
      <c r="N38" s="54">
        <f t="shared" si="20"/>
        <v>-11.92686829</v>
      </c>
      <c r="O38" s="55">
        <f t="shared" si="21"/>
        <v>-1.25</v>
      </c>
      <c r="P38" s="56">
        <f>O38/M38</f>
        <v>4.7575568080828225E-2</v>
      </c>
    </row>
    <row r="39" spans="1:16" s="20" customFormat="1" ht="24.75" customHeight="1" x14ac:dyDescent="0.25">
      <c r="A39" s="52"/>
      <c r="B39" s="53">
        <f>C39</f>
        <v>0</v>
      </c>
      <c r="C39" s="54"/>
      <c r="D39" s="54"/>
      <c r="E39" s="55"/>
      <c r="F39" s="56"/>
      <c r="G39" s="134"/>
      <c r="H39" s="135"/>
      <c r="I39" s="135"/>
      <c r="J39" s="135"/>
      <c r="K39" s="137"/>
      <c r="L39" s="53">
        <f>B39-G39</f>
        <v>0</v>
      </c>
      <c r="M39" s="54">
        <f t="shared" si="19"/>
        <v>0</v>
      </c>
      <c r="N39" s="54">
        <f t="shared" si="20"/>
        <v>0</v>
      </c>
      <c r="O39" s="55">
        <f t="shared" si="21"/>
        <v>0</v>
      </c>
      <c r="P39" s="56"/>
    </row>
    <row r="40" spans="1:16" s="20" customFormat="1" ht="24.6" customHeight="1" x14ac:dyDescent="0.25">
      <c r="A40" s="111" t="s">
        <v>64</v>
      </c>
      <c r="B40" s="64"/>
      <c r="C40" s="64"/>
      <c r="D40" s="64"/>
      <c r="E40" s="64">
        <f>E35</f>
        <v>150</v>
      </c>
      <c r="F40" s="90">
        <f>E40/C$48</f>
        <v>0.1</v>
      </c>
      <c r="G40" s="144"/>
      <c r="H40" s="144"/>
      <c r="I40" s="144"/>
      <c r="J40" s="144">
        <f>J35</f>
        <v>-27.099240000000002</v>
      </c>
      <c r="K40" s="157">
        <f>J40/H$48</f>
        <v>-9.0847827097052955E-2</v>
      </c>
      <c r="L40" s="64"/>
      <c r="M40" s="64"/>
      <c r="N40" s="64"/>
      <c r="O40" s="64">
        <f>O35</f>
        <v>177.09924000000001</v>
      </c>
      <c r="P40" s="65">
        <f>O40/M$48</f>
        <v>0.37193212268736764</v>
      </c>
    </row>
    <row r="41" spans="1:16" s="1" customFormat="1" ht="30" customHeight="1" x14ac:dyDescent="0.25">
      <c r="A41" s="109" t="s">
        <v>65</v>
      </c>
      <c r="B41" s="28">
        <v>0.13</v>
      </c>
      <c r="C41" s="30"/>
      <c r="D41" s="30"/>
      <c r="E41" s="110">
        <f>(C48-C34)*B41</f>
        <v>0</v>
      </c>
      <c r="F41" s="16">
        <f t="shared" ref="F41:F43" si="25">E41/$C$48</f>
        <v>0</v>
      </c>
      <c r="G41" s="146">
        <v>0.13</v>
      </c>
      <c r="H41" s="147"/>
      <c r="I41" s="147"/>
      <c r="J41" s="148">
        <v>-40.549999999999997</v>
      </c>
      <c r="K41" s="149">
        <f>J41/H$48</f>
        <v>-0.13594032115976304</v>
      </c>
      <c r="L41" s="28">
        <v>0.13</v>
      </c>
      <c r="M41" s="30"/>
      <c r="N41" s="30"/>
      <c r="O41" s="110">
        <f>(M48-M34)*L41</f>
        <v>28.046647475574552</v>
      </c>
      <c r="P41" s="16">
        <f>O41/$M$48</f>
        <v>5.8901715952336911E-2</v>
      </c>
    </row>
    <row r="42" spans="1:16" s="1" customFormat="1" ht="30" customHeight="1" x14ac:dyDescent="0.25">
      <c r="A42" s="109" t="s">
        <v>66</v>
      </c>
      <c r="B42" s="28"/>
      <c r="C42" s="30"/>
      <c r="D42" s="30"/>
      <c r="E42" s="29">
        <v>0</v>
      </c>
      <c r="F42" s="16">
        <f t="shared" si="25"/>
        <v>0</v>
      </c>
      <c r="G42" s="146">
        <f t="shared" ref="G42:G44" si="26">H42</f>
        <v>0</v>
      </c>
      <c r="H42" s="147"/>
      <c r="I42" s="147"/>
      <c r="J42" s="150">
        <v>0.88</v>
      </c>
      <c r="K42" s="149">
        <f>J42/H$48</f>
        <v>2.9501228759701969E-3</v>
      </c>
      <c r="L42" s="28">
        <f t="shared" ref="L42:L44" si="27">M42</f>
        <v>0</v>
      </c>
      <c r="M42" s="30"/>
      <c r="N42" s="30"/>
      <c r="O42" s="29">
        <f t="shared" ref="O42:O47" si="28">E42-J42</f>
        <v>-0.88</v>
      </c>
      <c r="P42" s="16">
        <f t="shared" ref="P42:P47" si="29">O42/$M$48</f>
        <v>-1.8481178573374086E-3</v>
      </c>
    </row>
    <row r="43" spans="1:16" s="1" customFormat="1" ht="30" customHeight="1" x14ac:dyDescent="0.25">
      <c r="A43" s="109" t="s">
        <v>67</v>
      </c>
      <c r="B43" s="28"/>
      <c r="C43" s="30"/>
      <c r="D43" s="30"/>
      <c r="E43" s="29">
        <v>11.5</v>
      </c>
      <c r="F43" s="16">
        <f t="shared" si="25"/>
        <v>7.6666666666666662E-3</v>
      </c>
      <c r="G43" s="146">
        <f t="shared" si="26"/>
        <v>0</v>
      </c>
      <c r="H43" s="147"/>
      <c r="I43" s="147"/>
      <c r="J43" s="150">
        <v>31.16</v>
      </c>
      <c r="K43" s="149">
        <f t="shared" ref="K43:K46" si="30">J43/H$48</f>
        <v>0.10446116910821743</v>
      </c>
      <c r="L43" s="28">
        <f t="shared" si="27"/>
        <v>0</v>
      </c>
      <c r="M43" s="30"/>
      <c r="N43" s="30"/>
      <c r="O43" s="29">
        <f t="shared" si="28"/>
        <v>-19.66</v>
      </c>
      <c r="P43" s="16">
        <f t="shared" si="29"/>
        <v>-4.1288633040060745E-2</v>
      </c>
    </row>
    <row r="44" spans="1:16" s="1" customFormat="1" ht="30" customHeight="1" x14ac:dyDescent="0.25">
      <c r="A44" s="109" t="s">
        <v>68</v>
      </c>
      <c r="B44" s="28"/>
      <c r="C44" s="30"/>
      <c r="D44" s="30"/>
      <c r="E44" s="29">
        <v>-18.2</v>
      </c>
      <c r="F44" s="16">
        <f>E44/$C$48</f>
        <v>-1.2133333333333333E-2</v>
      </c>
      <c r="G44" s="146">
        <f t="shared" si="26"/>
        <v>0</v>
      </c>
      <c r="H44" s="147"/>
      <c r="I44" s="147"/>
      <c r="J44" s="150">
        <v>-7.12</v>
      </c>
      <c r="K44" s="149">
        <f t="shared" si="30"/>
        <v>-2.386917599648614E-2</v>
      </c>
      <c r="L44" s="28">
        <f t="shared" si="27"/>
        <v>0</v>
      </c>
      <c r="M44" s="30"/>
      <c r="N44" s="30"/>
      <c r="O44" s="29">
        <f t="shared" si="28"/>
        <v>-11.079999999999998</v>
      </c>
      <c r="P44" s="16">
        <f t="shared" si="29"/>
        <v>-2.3269483931021004E-2</v>
      </c>
    </row>
    <row r="45" spans="1:16" s="1" customFormat="1" ht="30" customHeight="1" x14ac:dyDescent="0.25">
      <c r="A45" s="109" t="s">
        <v>69</v>
      </c>
      <c r="B45" s="28"/>
      <c r="C45" s="30"/>
      <c r="D45" s="30"/>
      <c r="E45" s="29"/>
      <c r="F45" s="16">
        <f t="shared" ref="F45:F46" si="31">E45/$C$48</f>
        <v>0</v>
      </c>
      <c r="G45" s="146">
        <f>SUM(G46:G46)</f>
        <v>0</v>
      </c>
      <c r="H45" s="147">
        <f>SUM(H46:H46)</f>
        <v>0</v>
      </c>
      <c r="I45" s="147">
        <f>SUM(I46:I46)</f>
        <v>0</v>
      </c>
      <c r="J45" s="150">
        <v>0</v>
      </c>
      <c r="K45" s="149">
        <f t="shared" si="30"/>
        <v>0</v>
      </c>
      <c r="L45" s="28">
        <f>SUM(L46:L46)</f>
        <v>0</v>
      </c>
      <c r="M45" s="30">
        <f>SUM(M46:M46)</f>
        <v>0</v>
      </c>
      <c r="N45" s="30">
        <f>SUM(N46:N46)</f>
        <v>0</v>
      </c>
      <c r="O45" s="29">
        <f t="shared" si="28"/>
        <v>0</v>
      </c>
      <c r="P45" s="16">
        <f t="shared" si="29"/>
        <v>0</v>
      </c>
    </row>
    <row r="46" spans="1:16" s="1" customFormat="1" ht="30" customHeight="1" x14ac:dyDescent="0.25">
      <c r="A46" s="109" t="s">
        <v>70</v>
      </c>
      <c r="B46" s="28"/>
      <c r="C46" s="30"/>
      <c r="D46" s="30"/>
      <c r="E46" s="29">
        <v>-10</v>
      </c>
      <c r="F46" s="16">
        <f t="shared" si="31"/>
        <v>-6.6666666666666671E-3</v>
      </c>
      <c r="G46" s="146">
        <f t="shared" ref="G46" si="32">H46</f>
        <v>0</v>
      </c>
      <c r="H46" s="147"/>
      <c r="I46" s="147"/>
      <c r="J46" s="150">
        <v>-2.36</v>
      </c>
      <c r="K46" s="149">
        <f t="shared" si="30"/>
        <v>-7.9116931673746185E-3</v>
      </c>
      <c r="L46" s="28">
        <f t="shared" ref="L46" si="33">M46</f>
        <v>0</v>
      </c>
      <c r="M46" s="30"/>
      <c r="N46" s="30"/>
      <c r="O46" s="29">
        <f t="shared" si="28"/>
        <v>-7.6400000000000006</v>
      </c>
      <c r="P46" s="16">
        <f t="shared" si="29"/>
        <v>-1.6045023215974775E-2</v>
      </c>
    </row>
    <row r="47" spans="1:16" s="20" customFormat="1" ht="24.75" customHeight="1" x14ac:dyDescent="0.25">
      <c r="A47" s="66" t="s">
        <v>71</v>
      </c>
      <c r="B47" s="67"/>
      <c r="C47" s="68"/>
      <c r="D47" s="68"/>
      <c r="E47" s="69">
        <v>16.7</v>
      </c>
      <c r="F47" s="70">
        <f>E47/C$32</f>
        <v>5.5666666666666668E-3</v>
      </c>
      <c r="G47" s="151"/>
      <c r="H47" s="152"/>
      <c r="I47" s="152"/>
      <c r="J47" s="153">
        <v>12.940000000000001</v>
      </c>
      <c r="K47" s="133">
        <f>J47/H$48</f>
        <v>4.3380215926198125E-2</v>
      </c>
      <c r="L47" s="67"/>
      <c r="M47" s="68"/>
      <c r="N47" s="68"/>
      <c r="O47" s="69">
        <f t="shared" si="28"/>
        <v>3.759999999999998</v>
      </c>
      <c r="P47" s="70">
        <f t="shared" si="29"/>
        <v>7.8965035722598324E-3</v>
      </c>
    </row>
    <row r="48" spans="1:16" s="20" customFormat="1" ht="31.35" customHeight="1" x14ac:dyDescent="0.25">
      <c r="A48" s="71" t="s">
        <v>46</v>
      </c>
      <c r="B48" s="72">
        <f>B36+B37+B38</f>
        <v>1800</v>
      </c>
      <c r="C48" s="73">
        <f t="shared" ref="C48:E48" si="34">C36+C37+C38</f>
        <v>1500</v>
      </c>
      <c r="D48" s="73">
        <f t="shared" si="34"/>
        <v>1500</v>
      </c>
      <c r="E48" s="73">
        <f t="shared" si="34"/>
        <v>150</v>
      </c>
      <c r="F48" s="74">
        <f>E48/C48</f>
        <v>0.1</v>
      </c>
      <c r="G48" s="154">
        <f>G36+G37+G38</f>
        <v>412.01866999999993</v>
      </c>
      <c r="H48" s="155">
        <f t="shared" ref="H48:I48" si="35">H36+H37+H38</f>
        <v>298.29265999999996</v>
      </c>
      <c r="I48" s="155">
        <f t="shared" si="35"/>
        <v>316.46064000000001</v>
      </c>
      <c r="J48" s="155">
        <f>J40+SUM(J41:J47)</f>
        <v>-32.149239999999992</v>
      </c>
      <c r="K48" s="156">
        <f>J48/H48</f>
        <v>-0.10777750951029098</v>
      </c>
      <c r="L48" s="72">
        <f>L36+L38</f>
        <v>686.43409878647094</v>
      </c>
      <c r="M48" s="73">
        <f>M36+M38</f>
        <v>476.16010878647091</v>
      </c>
      <c r="N48" s="73">
        <f>N36+N38</f>
        <v>460.92942941954129</v>
      </c>
      <c r="O48" s="73">
        <f>O36+O38</f>
        <v>98.305346400000005</v>
      </c>
      <c r="P48" s="74">
        <f>O48/M48</f>
        <v>0.20645439335634061</v>
      </c>
    </row>
    <row r="49" spans="1:16" s="20" customFormat="1" ht="31.35" customHeight="1" x14ac:dyDescent="0.25">
      <c r="A49" s="75" t="s">
        <v>5</v>
      </c>
      <c r="B49" s="72">
        <f>B48/B34</f>
        <v>1</v>
      </c>
      <c r="C49" s="73">
        <f>C48/C34</f>
        <v>1</v>
      </c>
      <c r="D49" s="73">
        <f>D48/D34</f>
        <v>1</v>
      </c>
      <c r="E49" s="73">
        <f>E48/E34</f>
        <v>1</v>
      </c>
      <c r="F49" s="74"/>
      <c r="G49" s="154">
        <f>G48/G34</f>
        <v>0.54935822666666656</v>
      </c>
      <c r="H49" s="155">
        <f>H48/H34</f>
        <v>0.47726825599999995</v>
      </c>
      <c r="I49" s="155">
        <f>I48/I34</f>
        <v>0.50633702400000002</v>
      </c>
      <c r="J49" s="155">
        <f>J48/J34</f>
        <v>-0.51438783999999982</v>
      </c>
      <c r="K49" s="156"/>
      <c r="L49" s="72">
        <f>L48/L34</f>
        <v>2.1965891161167068</v>
      </c>
      <c r="M49" s="73">
        <f>M48/M34</f>
        <v>1.8284548177400481</v>
      </c>
      <c r="N49" s="73">
        <f>N48/N34</f>
        <v>1.7699690089710385</v>
      </c>
      <c r="O49" s="73">
        <f>O48/O34</f>
        <v>3.7749253017600006</v>
      </c>
      <c r="P49" s="74"/>
    </row>
    <row r="50" spans="1:16" s="20" customFormat="1" ht="24.75" customHeight="1" x14ac:dyDescent="0.25">
      <c r="A50" s="76"/>
      <c r="B50" s="77"/>
      <c r="C50" s="77"/>
      <c r="D50" s="78"/>
      <c r="E50" s="79"/>
      <c r="F50" s="80"/>
      <c r="G50" s="158"/>
      <c r="H50" s="158"/>
      <c r="I50" s="159"/>
      <c r="J50" s="160"/>
      <c r="K50" s="161"/>
      <c r="L50" s="77"/>
      <c r="M50" s="77"/>
      <c r="N50" s="78"/>
      <c r="O50" s="79"/>
      <c r="P50" s="80"/>
    </row>
    <row r="51" spans="1:16" s="20" customFormat="1" ht="32.1" customHeight="1" x14ac:dyDescent="0.25">
      <c r="A51" s="81" t="s">
        <v>47</v>
      </c>
      <c r="B51" s="82">
        <f>B32+B48</f>
        <v>5100</v>
      </c>
      <c r="C51" s="83">
        <f>C32+C48</f>
        <v>4500</v>
      </c>
      <c r="D51" s="83">
        <f>D32+D48</f>
        <v>4500</v>
      </c>
      <c r="E51" s="83">
        <f>E32+E48</f>
        <v>437.00000000000006</v>
      </c>
      <c r="F51" s="84">
        <f>E51/C51</f>
        <v>9.711111111111112E-2</v>
      </c>
      <c r="G51" s="162">
        <f>G32+G48</f>
        <v>2221.5483629999999</v>
      </c>
      <c r="H51" s="163">
        <f>H32+H48</f>
        <v>1993.1023529999998</v>
      </c>
      <c r="I51" s="163">
        <f>I32+I48</f>
        <v>1926.059669</v>
      </c>
      <c r="J51" s="163">
        <f>J32+J48</f>
        <v>141.4494</v>
      </c>
      <c r="K51" s="164">
        <f>J51/H51</f>
        <v>7.0969461145380539E-2</v>
      </c>
      <c r="L51" s="82">
        <f>L32+L48</f>
        <v>2176.9044057864712</v>
      </c>
      <c r="M51" s="83">
        <f>M32+M48</f>
        <v>1781.3504157864709</v>
      </c>
      <c r="N51" s="83">
        <f>N32+N48</f>
        <v>1851.3304004195413</v>
      </c>
      <c r="O51" s="83">
        <f>O32+O48</f>
        <v>282.70670640000003</v>
      </c>
      <c r="P51" s="84">
        <f>O51/M51</f>
        <v>0.15870359020585192</v>
      </c>
    </row>
    <row r="52" spans="1:16" s="20" customFormat="1" ht="32.1" customHeight="1" x14ac:dyDescent="0.25">
      <c r="A52" s="82" t="s">
        <v>5</v>
      </c>
      <c r="B52" s="82">
        <f>B51/B4</f>
        <v>0.98076923076923073</v>
      </c>
      <c r="C52" s="83">
        <f>C51/C4</f>
        <v>0.97826086956521741</v>
      </c>
      <c r="D52" s="83">
        <f>D51/D4</f>
        <v>0.97826086956521741</v>
      </c>
      <c r="E52" s="83">
        <f>E51/E4</f>
        <v>0.90103092783505168</v>
      </c>
      <c r="F52" s="84"/>
      <c r="G52" s="162">
        <f>G51/G4</f>
        <v>1.0253300136923078</v>
      </c>
      <c r="H52" s="163">
        <f>H51/H4</f>
        <v>1.0398794885217391</v>
      </c>
      <c r="I52" s="163">
        <f>I51/I4</f>
        <v>1.0049006968695653</v>
      </c>
      <c r="J52" s="163">
        <f>J51/J4</f>
        <v>0.69995579381443307</v>
      </c>
      <c r="K52" s="164"/>
      <c r="L52" s="82">
        <f>L51/L4</f>
        <v>0.71766079311641906</v>
      </c>
      <c r="M52" s="83">
        <f>M51/M4</f>
        <v>0.66385729780862268</v>
      </c>
      <c r="N52" s="83">
        <f>N51/N4</f>
        <v>0.68993679518740669</v>
      </c>
      <c r="O52" s="83">
        <f>O51/O4</f>
        <v>0.99925787240058916</v>
      </c>
      <c r="P52" s="84"/>
    </row>
    <row r="53" spans="1:16" s="8" customFormat="1" ht="24.75" customHeight="1" x14ac:dyDescent="0.25">
      <c r="A53" s="76"/>
      <c r="B53" s="77"/>
      <c r="C53" s="77"/>
      <c r="D53" s="78"/>
      <c r="E53" s="79"/>
      <c r="F53" s="80"/>
      <c r="G53" s="158"/>
      <c r="H53" s="158"/>
      <c r="I53" s="159"/>
      <c r="J53" s="160"/>
      <c r="K53" s="161"/>
      <c r="L53" s="77"/>
      <c r="M53" s="77"/>
      <c r="N53" s="78"/>
      <c r="O53" s="79"/>
      <c r="P53" s="80"/>
    </row>
    <row r="54" spans="1:16" s="117" customFormat="1" ht="32.1" customHeight="1" x14ac:dyDescent="0.25">
      <c r="A54" s="31" t="s">
        <v>48</v>
      </c>
      <c r="B54" s="33">
        <f>B55+B86</f>
        <v>8800</v>
      </c>
      <c r="C54" s="33">
        <f>C55+C86</f>
        <v>8600</v>
      </c>
      <c r="D54" s="33">
        <f>D55+D86</f>
        <v>8600</v>
      </c>
      <c r="E54" s="33">
        <f>E55+E86</f>
        <v>685</v>
      </c>
      <c r="F54" s="115">
        <f>E54/C54</f>
        <v>7.9651162790697672E-2</v>
      </c>
      <c r="G54" s="118">
        <f t="shared" ref="G54" si="36">(B54/12)*$P$1</f>
        <v>3666.666666666667</v>
      </c>
      <c r="H54" s="119">
        <f t="shared" ref="H54" si="37">(C54/12)*$P$1</f>
        <v>3583.333333333333</v>
      </c>
      <c r="I54" s="119">
        <f t="shared" ref="I54" si="38">(D54/12)*$P$1</f>
        <v>3583.333333333333</v>
      </c>
      <c r="J54" s="119">
        <f t="shared" ref="J54" si="39">(E54/12)*$P$1</f>
        <v>285.41666666666669</v>
      </c>
      <c r="K54" s="165">
        <f>J54/H54</f>
        <v>7.9651162790697685E-2</v>
      </c>
      <c r="L54" s="33">
        <f>L55+L86</f>
        <v>3237.5547011111112</v>
      </c>
      <c r="M54" s="33">
        <f>M55+M86</f>
        <v>3037.5547011111112</v>
      </c>
      <c r="N54" s="33">
        <f>N55+N86</f>
        <v>2962.0780811111113</v>
      </c>
      <c r="O54" s="33">
        <f>O55+O86</f>
        <v>206.3876788888889</v>
      </c>
      <c r="P54" s="115">
        <f>O54/M54</f>
        <v>6.7945337350927074E-2</v>
      </c>
    </row>
    <row r="55" spans="1:16" s="7" customFormat="1" ht="29.85" customHeight="1" x14ac:dyDescent="0.25">
      <c r="A55" s="35" t="s">
        <v>49</v>
      </c>
      <c r="B55" s="36">
        <v>4600</v>
      </c>
      <c r="C55" s="36">
        <v>4600</v>
      </c>
      <c r="D55" s="36">
        <v>4600</v>
      </c>
      <c r="E55" s="37">
        <v>485</v>
      </c>
      <c r="F55" s="85">
        <f>E55/C55</f>
        <v>0.10543478260869565</v>
      </c>
      <c r="G55" s="121">
        <f>(B55/12)*$P$1</f>
        <v>1916.6666666666665</v>
      </c>
      <c r="H55" s="122">
        <f>(C55/12)*$P$1</f>
        <v>1916.6666666666665</v>
      </c>
      <c r="I55" s="122">
        <f>(D55/12)*$P$1</f>
        <v>1916.6666666666665</v>
      </c>
      <c r="J55" s="122">
        <f>(E55/12)*$P$1</f>
        <v>202.08333333333331</v>
      </c>
      <c r="K55" s="166">
        <f>J55/H55</f>
        <v>0.10543478260869565</v>
      </c>
      <c r="L55" s="36">
        <f>(G55/12)*$P$1</f>
        <v>798.61111111111097</v>
      </c>
      <c r="M55" s="37">
        <f>(H55/12)*$P$1</f>
        <v>798.61111111111097</v>
      </c>
      <c r="N55" s="37">
        <f>(I55/12)*$P$1</f>
        <v>798.61111111111097</v>
      </c>
      <c r="O55" s="37">
        <f>(J55/12)*$P$1</f>
        <v>84.201388888888872</v>
      </c>
      <c r="P55" s="85">
        <f>O55/M55</f>
        <v>0.10543478260869565</v>
      </c>
    </row>
    <row r="56" spans="1:16" s="1" customFormat="1" ht="31.5" customHeight="1" x14ac:dyDescent="0.25">
      <c r="A56" s="39" t="s">
        <v>21</v>
      </c>
      <c r="B56" s="41">
        <f>SUM(B57:B61)</f>
        <v>2750</v>
      </c>
      <c r="C56" s="41">
        <f>SUM(C57:C61)</f>
        <v>2750</v>
      </c>
      <c r="D56" s="41">
        <f>SUM(D57:D61)</f>
        <v>2750</v>
      </c>
      <c r="E56" s="41">
        <f>SUM(E57:E61)</f>
        <v>295</v>
      </c>
      <c r="F56" s="86">
        <f>E56/C56</f>
        <v>0.10727272727272727</v>
      </c>
      <c r="G56" s="125">
        <f>SUM(G57:G61)</f>
        <v>1217.2470000000001</v>
      </c>
      <c r="H56" s="125">
        <f>SUM(H57:H61)</f>
        <v>1217.2470000000001</v>
      </c>
      <c r="I56" s="125">
        <f>SUM(I57:I61)</f>
        <v>1273.2280000000001</v>
      </c>
      <c r="J56" s="125">
        <f>SUM(J57:J61)</f>
        <v>224.76999999999998</v>
      </c>
      <c r="K56" s="167">
        <f>J56/H56</f>
        <v>0.18465438813979412</v>
      </c>
      <c r="L56" s="41">
        <f>SUM(L57:L61)</f>
        <v>1532.7529999999999</v>
      </c>
      <c r="M56" s="41">
        <f>SUM(M57:M61)</f>
        <v>1532.7529999999999</v>
      </c>
      <c r="N56" s="41">
        <f>SUM(N57:N61)</f>
        <v>1476.7719999999999</v>
      </c>
      <c r="O56" s="41">
        <f>SUM(O57:O61)</f>
        <v>70.230000000000018</v>
      </c>
      <c r="P56" s="86">
        <f>O56/M56</f>
        <v>4.5819515603623039E-2</v>
      </c>
    </row>
    <row r="57" spans="1:16" s="1" customFormat="1" ht="30" customHeight="1" x14ac:dyDescent="0.25">
      <c r="A57" s="43" t="s">
        <v>23</v>
      </c>
      <c r="B57" s="11">
        <v>950</v>
      </c>
      <c r="C57" s="13">
        <v>950</v>
      </c>
      <c r="D57" s="13">
        <v>950</v>
      </c>
      <c r="E57" s="19">
        <v>95</v>
      </c>
      <c r="F57" s="87">
        <f>+E57/C57</f>
        <v>0.1</v>
      </c>
      <c r="G57" s="168">
        <f>H57</f>
        <v>438.31700000000001</v>
      </c>
      <c r="H57" s="169">
        <v>438.31700000000001</v>
      </c>
      <c r="I57" s="169">
        <v>488.31700000000001</v>
      </c>
      <c r="J57" s="170">
        <v>85.138999999999996</v>
      </c>
      <c r="K57" s="171">
        <f>+J57/H57</f>
        <v>0.19424069794235677</v>
      </c>
      <c r="L57" s="53">
        <f>B57-G57</f>
        <v>511.68299999999999</v>
      </c>
      <c r="M57" s="54">
        <f t="shared" ref="M57:M58" si="40">C57-H57</f>
        <v>511.68299999999999</v>
      </c>
      <c r="N57" s="54">
        <f t="shared" ref="N57:N58" si="41">D57-I57</f>
        <v>461.68299999999999</v>
      </c>
      <c r="O57" s="55">
        <f t="shared" ref="O57:O58" si="42">E57-J57</f>
        <v>9.8610000000000042</v>
      </c>
      <c r="P57" s="87">
        <f>+O57/M57</f>
        <v>1.9271697515844781E-2</v>
      </c>
    </row>
    <row r="58" spans="1:16" s="1" customFormat="1" ht="30" customHeight="1" x14ac:dyDescent="0.25">
      <c r="A58" s="43" t="s">
        <v>24</v>
      </c>
      <c r="B58" s="11">
        <v>500</v>
      </c>
      <c r="C58" s="13">
        <v>500</v>
      </c>
      <c r="D58" s="13">
        <v>500</v>
      </c>
      <c r="E58" s="19">
        <v>58</v>
      </c>
      <c r="F58" s="87">
        <f>+E58/C58</f>
        <v>0.11600000000000001</v>
      </c>
      <c r="G58" s="168">
        <f t="shared" ref="G58:G61" si="43">H58</f>
        <v>251.327</v>
      </c>
      <c r="H58" s="169">
        <v>251.327</v>
      </c>
      <c r="I58" s="169">
        <v>251.327</v>
      </c>
      <c r="J58" s="170">
        <v>55.354999999999997</v>
      </c>
      <c r="K58" s="171">
        <f>+J58/H58</f>
        <v>0.22025090817938381</v>
      </c>
      <c r="L58" s="53">
        <f>B58-G58</f>
        <v>248.673</v>
      </c>
      <c r="M58" s="54">
        <f t="shared" si="40"/>
        <v>248.673</v>
      </c>
      <c r="N58" s="54">
        <f t="shared" si="41"/>
        <v>248.673</v>
      </c>
      <c r="O58" s="55">
        <f t="shared" si="42"/>
        <v>2.6450000000000031</v>
      </c>
      <c r="P58" s="87">
        <f>+O58/M58</f>
        <v>1.0636458320766642E-2</v>
      </c>
    </row>
    <row r="59" spans="1:16" s="1" customFormat="1" ht="30" customHeight="1" x14ac:dyDescent="0.25">
      <c r="A59" s="43" t="s">
        <v>25</v>
      </c>
      <c r="B59" s="11">
        <v>550</v>
      </c>
      <c r="C59" s="13">
        <v>550</v>
      </c>
      <c r="D59" s="13">
        <v>550</v>
      </c>
      <c r="E59" s="19">
        <v>63</v>
      </c>
      <c r="F59" s="87">
        <f>+E59/C59</f>
        <v>0.11454545454545455</v>
      </c>
      <c r="G59" s="168">
        <f t="shared" si="43"/>
        <v>230.32499999999999</v>
      </c>
      <c r="H59" s="169">
        <v>230.32499999999999</v>
      </c>
      <c r="I59" s="169">
        <v>240.32499999999999</v>
      </c>
      <c r="J59" s="170">
        <v>42.753999999999998</v>
      </c>
      <c r="K59" s="171">
        <f>+J59/H59</f>
        <v>0.1856246608053837</v>
      </c>
      <c r="L59" s="53">
        <f>B59-G59</f>
        <v>319.67500000000001</v>
      </c>
      <c r="M59" s="54">
        <f t="shared" ref="M59:M61" si="44">C59-H59</f>
        <v>319.67500000000001</v>
      </c>
      <c r="N59" s="54">
        <f t="shared" ref="N59:N61" si="45">D59-I59</f>
        <v>309.67500000000001</v>
      </c>
      <c r="O59" s="55">
        <f t="shared" ref="O59:O61" si="46">E59-J59</f>
        <v>20.246000000000002</v>
      </c>
      <c r="P59" s="87">
        <f>+O59/M59</f>
        <v>6.3333072651912098E-2</v>
      </c>
    </row>
    <row r="60" spans="1:16" s="1" customFormat="1" ht="30" customHeight="1" x14ac:dyDescent="0.25">
      <c r="A60" s="48" t="s">
        <v>26</v>
      </c>
      <c r="B60" s="11">
        <v>350</v>
      </c>
      <c r="C60" s="2">
        <v>350</v>
      </c>
      <c r="D60" s="2">
        <v>350</v>
      </c>
      <c r="E60" s="17">
        <v>38</v>
      </c>
      <c r="F60" s="16">
        <f>E60/C60</f>
        <v>0.10857142857142857</v>
      </c>
      <c r="G60" s="168">
        <f t="shared" si="43"/>
        <v>145.24199999999999</v>
      </c>
      <c r="H60" s="172">
        <v>145.24199999999999</v>
      </c>
      <c r="I60" s="172">
        <v>145.16399999999999</v>
      </c>
      <c r="J60" s="173">
        <v>19.754999999999999</v>
      </c>
      <c r="K60" s="149">
        <f>J60/H60</f>
        <v>0.13601437600694014</v>
      </c>
      <c r="L60" s="53">
        <f>B60-G60</f>
        <v>204.75800000000001</v>
      </c>
      <c r="M60" s="54">
        <f t="shared" si="44"/>
        <v>204.75800000000001</v>
      </c>
      <c r="N60" s="54">
        <f t="shared" si="45"/>
        <v>204.83600000000001</v>
      </c>
      <c r="O60" s="55">
        <f t="shared" si="46"/>
        <v>18.245000000000001</v>
      </c>
      <c r="P60" s="16">
        <f>O60/M60</f>
        <v>8.9105187587298171E-2</v>
      </c>
    </row>
    <row r="61" spans="1:16" s="1" customFormat="1" ht="30" customHeight="1" x14ac:dyDescent="0.25">
      <c r="A61" s="43" t="s">
        <v>27</v>
      </c>
      <c r="B61" s="11">
        <v>400</v>
      </c>
      <c r="C61" s="12">
        <v>400</v>
      </c>
      <c r="D61" s="12">
        <v>400</v>
      </c>
      <c r="E61" s="18">
        <v>41</v>
      </c>
      <c r="F61" s="87">
        <f>E61/C61</f>
        <v>0.10249999999999999</v>
      </c>
      <c r="G61" s="168">
        <f t="shared" si="43"/>
        <v>152.036</v>
      </c>
      <c r="H61" s="174">
        <v>152.036</v>
      </c>
      <c r="I61" s="174">
        <v>148.095</v>
      </c>
      <c r="J61" s="175">
        <v>21.766999999999999</v>
      </c>
      <c r="K61" s="171">
        <f>J61/H61</f>
        <v>0.14317003867505065</v>
      </c>
      <c r="L61" s="53">
        <f>B61-G61</f>
        <v>247.964</v>
      </c>
      <c r="M61" s="54">
        <f t="shared" si="44"/>
        <v>247.964</v>
      </c>
      <c r="N61" s="54">
        <f t="shared" si="45"/>
        <v>251.905</v>
      </c>
      <c r="O61" s="55">
        <f t="shared" si="46"/>
        <v>19.233000000000001</v>
      </c>
      <c r="P61" s="87">
        <f>O61/M61</f>
        <v>7.7563678598506242E-2</v>
      </c>
    </row>
    <row r="62" spans="1:16" s="1" customFormat="1" ht="30" customHeight="1" x14ac:dyDescent="0.25">
      <c r="A62" s="39" t="s">
        <v>50</v>
      </c>
      <c r="B62" s="40">
        <f>SUM(B63:B67)</f>
        <v>1030</v>
      </c>
      <c r="C62" s="41">
        <f>SUM(C63:C67)</f>
        <v>1030</v>
      </c>
      <c r="D62" s="41">
        <f>SUM(D63:D67)</f>
        <v>1030</v>
      </c>
      <c r="E62" s="41">
        <f>SUM(E63:E67)</f>
        <v>60</v>
      </c>
      <c r="F62" s="86">
        <f>+E62/C62</f>
        <v>5.8252427184466021E-2</v>
      </c>
      <c r="G62" s="124">
        <f>SUM(G63:G67)</f>
        <v>430.24900000000002</v>
      </c>
      <c r="H62" s="125">
        <f>SUM(H63:H67)</f>
        <v>430.24900000000002</v>
      </c>
      <c r="I62" s="125">
        <f>SUM(I63:I67)</f>
        <v>503.24499999999995</v>
      </c>
      <c r="J62" s="125">
        <f>SUM(J63:J67)</f>
        <v>51.647000000000006</v>
      </c>
      <c r="K62" s="167">
        <f>+J62/H62</f>
        <v>0.12003979091177436</v>
      </c>
      <c r="L62" s="40">
        <f>SUM(L63:L67)</f>
        <v>599.75099999999998</v>
      </c>
      <c r="M62" s="41">
        <f>SUM(M63:M67)</f>
        <v>599.75099999999998</v>
      </c>
      <c r="N62" s="41">
        <f>SUM(N63:N67)</f>
        <v>526.755</v>
      </c>
      <c r="O62" s="41">
        <f>SUM(O63:O67)</f>
        <v>8.3529999999999998</v>
      </c>
      <c r="P62" s="86">
        <f>+O62/M62</f>
        <v>1.3927446556987817E-2</v>
      </c>
    </row>
    <row r="63" spans="1:16" s="1" customFormat="1" ht="30" customHeight="1" x14ac:dyDescent="0.25">
      <c r="A63" s="52" t="s">
        <v>51</v>
      </c>
      <c r="B63" s="23">
        <v>165</v>
      </c>
      <c r="C63" s="24">
        <v>165</v>
      </c>
      <c r="D63" s="24">
        <v>165</v>
      </c>
      <c r="E63" s="25">
        <v>3</v>
      </c>
      <c r="F63" s="88">
        <f>E63/C63</f>
        <v>1.8181818181818181E-2</v>
      </c>
      <c r="G63" s="176">
        <f>H63</f>
        <v>71.257999999999996</v>
      </c>
      <c r="H63" s="177">
        <v>71.257999999999996</v>
      </c>
      <c r="I63" s="177">
        <v>75.236000000000004</v>
      </c>
      <c r="J63" s="177">
        <v>3.3620000000000001</v>
      </c>
      <c r="K63" s="178">
        <f>J63/H63</f>
        <v>4.7180667433831994E-2</v>
      </c>
      <c r="L63" s="53">
        <f>B63-G63</f>
        <v>93.742000000000004</v>
      </c>
      <c r="M63" s="54">
        <f t="shared" ref="M63:M67" si="47">C63-H63</f>
        <v>93.742000000000004</v>
      </c>
      <c r="N63" s="54">
        <f t="shared" ref="N63:N67" si="48">D63-I63</f>
        <v>89.763999999999996</v>
      </c>
      <c r="O63" s="55">
        <f t="shared" ref="O63:O67" si="49">E63-J63</f>
        <v>-0.3620000000000001</v>
      </c>
      <c r="P63" s="88">
        <f>O63/M63</f>
        <v>-3.8616628618975495E-3</v>
      </c>
    </row>
    <row r="64" spans="1:16" s="1" customFormat="1" ht="30" customHeight="1" x14ac:dyDescent="0.25">
      <c r="A64" s="52" t="s">
        <v>28</v>
      </c>
      <c r="B64" s="11">
        <v>240</v>
      </c>
      <c r="C64" s="24">
        <v>240</v>
      </c>
      <c r="D64" s="12">
        <v>240</v>
      </c>
      <c r="E64" s="25">
        <v>9</v>
      </c>
      <c r="F64" s="88">
        <f>E64/C64</f>
        <v>3.7499999999999999E-2</v>
      </c>
      <c r="G64" s="176">
        <f t="shared" ref="G64:G67" si="50">H64</f>
        <v>54.5</v>
      </c>
      <c r="H64" s="177">
        <v>54.5</v>
      </c>
      <c r="I64" s="174">
        <v>54.5</v>
      </c>
      <c r="J64" s="179">
        <v>8.4290000000000003</v>
      </c>
      <c r="K64" s="178">
        <f>J64/H64</f>
        <v>0.1546605504587156</v>
      </c>
      <c r="L64" s="53">
        <f>B64-G64</f>
        <v>185.5</v>
      </c>
      <c r="M64" s="54">
        <f t="shared" si="47"/>
        <v>185.5</v>
      </c>
      <c r="N64" s="54">
        <f t="shared" si="48"/>
        <v>185.5</v>
      </c>
      <c r="O64" s="55">
        <f t="shared" si="49"/>
        <v>0.57099999999999973</v>
      </c>
      <c r="P64" s="88">
        <f>O64/M64</f>
        <v>3.0781671159029636E-3</v>
      </c>
    </row>
    <row r="65" spans="1:16" s="1" customFormat="1" ht="33.75" customHeight="1" x14ac:dyDescent="0.25">
      <c r="A65" s="43" t="s">
        <v>14</v>
      </c>
      <c r="B65" s="11">
        <v>260</v>
      </c>
      <c r="C65" s="12">
        <v>260</v>
      </c>
      <c r="D65" s="12">
        <v>260</v>
      </c>
      <c r="E65" s="18">
        <v>8</v>
      </c>
      <c r="F65" s="87">
        <f>E65/C65</f>
        <v>3.0769230769230771E-2</v>
      </c>
      <c r="G65" s="176">
        <f t="shared" si="50"/>
        <v>127</v>
      </c>
      <c r="H65" s="174">
        <v>127</v>
      </c>
      <c r="I65" s="174">
        <v>157.453</v>
      </c>
      <c r="J65" s="175">
        <v>15.907</v>
      </c>
      <c r="K65" s="171">
        <f>J65/H65</f>
        <v>0.12525196850393699</v>
      </c>
      <c r="L65" s="53">
        <f>B65-G65</f>
        <v>133</v>
      </c>
      <c r="M65" s="54">
        <f t="shared" si="47"/>
        <v>133</v>
      </c>
      <c r="N65" s="54">
        <f t="shared" si="48"/>
        <v>102.547</v>
      </c>
      <c r="O65" s="55">
        <f t="shared" si="49"/>
        <v>-7.907</v>
      </c>
      <c r="P65" s="87">
        <f>O65/M65</f>
        <v>-5.9451127819548873E-2</v>
      </c>
    </row>
    <row r="66" spans="1:16" s="1" customFormat="1" ht="30" customHeight="1" x14ac:dyDescent="0.25">
      <c r="A66" s="43" t="s">
        <v>22</v>
      </c>
      <c r="B66" s="11">
        <v>150</v>
      </c>
      <c r="C66" s="12">
        <v>150</v>
      </c>
      <c r="D66" s="12">
        <v>150</v>
      </c>
      <c r="E66" s="19">
        <v>22</v>
      </c>
      <c r="F66" s="87">
        <f>+E66/C66</f>
        <v>0.14666666666666667</v>
      </c>
      <c r="G66" s="176">
        <f t="shared" si="50"/>
        <v>87.275999999999996</v>
      </c>
      <c r="H66" s="174">
        <v>87.275999999999996</v>
      </c>
      <c r="I66" s="174">
        <v>95</v>
      </c>
      <c r="J66" s="170">
        <v>12.276</v>
      </c>
      <c r="K66" s="171">
        <f>+J66/H66</f>
        <v>0.14065722535404923</v>
      </c>
      <c r="L66" s="53">
        <f>B66-G66</f>
        <v>62.724000000000004</v>
      </c>
      <c r="M66" s="54">
        <f t="shared" si="47"/>
        <v>62.724000000000004</v>
      </c>
      <c r="N66" s="54">
        <f t="shared" si="48"/>
        <v>55</v>
      </c>
      <c r="O66" s="55">
        <f t="shared" si="49"/>
        <v>9.7240000000000002</v>
      </c>
      <c r="P66" s="87">
        <f>+O66/M66</f>
        <v>0.15502837829220076</v>
      </c>
    </row>
    <row r="67" spans="1:16" s="1" customFormat="1" ht="30" customHeight="1" x14ac:dyDescent="0.25">
      <c r="A67" s="43" t="s">
        <v>15</v>
      </c>
      <c r="B67" s="11">
        <v>215</v>
      </c>
      <c r="C67" s="13">
        <v>215</v>
      </c>
      <c r="D67" s="13">
        <v>215</v>
      </c>
      <c r="E67" s="19">
        <v>18</v>
      </c>
      <c r="F67" s="87">
        <f>+E67/C67</f>
        <v>8.3720930232558138E-2</v>
      </c>
      <c r="G67" s="176">
        <f t="shared" si="50"/>
        <v>90.215000000000003</v>
      </c>
      <c r="H67" s="169">
        <v>90.215000000000003</v>
      </c>
      <c r="I67" s="169">
        <v>121.056</v>
      </c>
      <c r="J67" s="170">
        <v>11.673</v>
      </c>
      <c r="K67" s="171">
        <f>+J67/H67</f>
        <v>0.12939089951781854</v>
      </c>
      <c r="L67" s="53">
        <f>B67-G67</f>
        <v>124.785</v>
      </c>
      <c r="M67" s="54">
        <f t="shared" si="47"/>
        <v>124.785</v>
      </c>
      <c r="N67" s="54">
        <f t="shared" si="48"/>
        <v>93.944000000000003</v>
      </c>
      <c r="O67" s="55">
        <f t="shared" si="49"/>
        <v>6.327</v>
      </c>
      <c r="P67" s="87">
        <f>+O67/M67</f>
        <v>5.0703209520375048E-2</v>
      </c>
    </row>
    <row r="68" spans="1:16" s="1" customFormat="1" ht="30" customHeight="1" x14ac:dyDescent="0.25">
      <c r="A68" s="39" t="s">
        <v>52</v>
      </c>
      <c r="B68" s="40">
        <f>SUM(B69:B70)</f>
        <v>450</v>
      </c>
      <c r="C68" s="41">
        <f>SUM(C69:C70)</f>
        <v>450</v>
      </c>
      <c r="D68" s="41">
        <f>SUM(D69:D70)</f>
        <v>450</v>
      </c>
      <c r="E68" s="41">
        <v>68</v>
      </c>
      <c r="F68" s="86">
        <f>+E68/C68</f>
        <v>0.15111111111111111</v>
      </c>
      <c r="G68" s="124">
        <f>SUM(G69:G70)</f>
        <v>205.80500000000001</v>
      </c>
      <c r="H68" s="125">
        <f>SUM(H69:H70)</f>
        <v>205.80500000000001</v>
      </c>
      <c r="I68" s="125">
        <f>SUM(I69:I70)</f>
        <v>205.80500000000001</v>
      </c>
      <c r="J68" s="125">
        <f>SUM(J69:J70)</f>
        <v>43.762999999999998</v>
      </c>
      <c r="K68" s="167">
        <f>+J68/H68</f>
        <v>0.21264303588348191</v>
      </c>
      <c r="L68" s="40">
        <f>SUM(L69:L70)</f>
        <v>244.19499999999999</v>
      </c>
      <c r="M68" s="41">
        <f>SUM(M69:M70)</f>
        <v>244.19499999999999</v>
      </c>
      <c r="N68" s="41">
        <f>SUM(N69:N70)</f>
        <v>244.19499999999999</v>
      </c>
      <c r="O68" s="41">
        <f>SUM(O69:O70)</f>
        <v>17.237000000000002</v>
      </c>
      <c r="P68" s="86">
        <f>+O68/M68</f>
        <v>7.0587030856487654E-2</v>
      </c>
    </row>
    <row r="69" spans="1:16" s="1" customFormat="1" ht="30" customHeight="1" x14ac:dyDescent="0.25">
      <c r="A69" s="52" t="s">
        <v>2</v>
      </c>
      <c r="B69" s="53">
        <v>220</v>
      </c>
      <c r="C69" s="54">
        <v>220</v>
      </c>
      <c r="D69" s="54">
        <v>220</v>
      </c>
      <c r="E69" s="55">
        <v>29</v>
      </c>
      <c r="F69" s="89">
        <f t="shared" ref="F69:F74" si="51">E69/C69</f>
        <v>0.13181818181818181</v>
      </c>
      <c r="G69" s="176">
        <f t="shared" ref="G69:G70" si="52">H69</f>
        <v>93.257999999999996</v>
      </c>
      <c r="H69" s="135">
        <v>93.257999999999996</v>
      </c>
      <c r="I69" s="135">
        <v>93.257999999999996</v>
      </c>
      <c r="J69" s="136">
        <v>20.736999999999998</v>
      </c>
      <c r="K69" s="180">
        <f t="shared" ref="K69:K74" si="53">J69/H69</f>
        <v>0.22236162045079241</v>
      </c>
      <c r="L69" s="53">
        <f>B69-G69</f>
        <v>126.742</v>
      </c>
      <c r="M69" s="54">
        <f t="shared" ref="M69:M70" si="54">C69-H69</f>
        <v>126.742</v>
      </c>
      <c r="N69" s="54">
        <f t="shared" ref="N69:N70" si="55">D69-I69</f>
        <v>126.742</v>
      </c>
      <c r="O69" s="55">
        <f t="shared" ref="O69:O70" si="56">E69-J69</f>
        <v>8.2630000000000017</v>
      </c>
      <c r="P69" s="89">
        <f t="shared" ref="P69:P74" si="57">O69/M69</f>
        <v>6.5195436398352569E-2</v>
      </c>
    </row>
    <row r="70" spans="1:16" s="1" customFormat="1" ht="30" customHeight="1" x14ac:dyDescent="0.25">
      <c r="A70" s="52" t="s">
        <v>4</v>
      </c>
      <c r="B70" s="53">
        <v>230</v>
      </c>
      <c r="C70" s="54">
        <v>230</v>
      </c>
      <c r="D70" s="54">
        <v>230</v>
      </c>
      <c r="E70" s="55">
        <v>32</v>
      </c>
      <c r="F70" s="89">
        <f t="shared" si="51"/>
        <v>0.1391304347826087</v>
      </c>
      <c r="G70" s="176">
        <f t="shared" si="52"/>
        <v>112.547</v>
      </c>
      <c r="H70" s="135">
        <v>112.547</v>
      </c>
      <c r="I70" s="135">
        <v>112.547</v>
      </c>
      <c r="J70" s="136">
        <v>23.026</v>
      </c>
      <c r="K70" s="180">
        <f t="shared" si="53"/>
        <v>0.20459008236558948</v>
      </c>
      <c r="L70" s="53">
        <f>B70-G70</f>
        <v>117.453</v>
      </c>
      <c r="M70" s="54">
        <f t="shared" si="54"/>
        <v>117.453</v>
      </c>
      <c r="N70" s="54">
        <f t="shared" si="55"/>
        <v>117.453</v>
      </c>
      <c r="O70" s="55">
        <f t="shared" si="56"/>
        <v>8.9740000000000002</v>
      </c>
      <c r="P70" s="89">
        <f t="shared" si="57"/>
        <v>7.6405030097145235E-2</v>
      </c>
    </row>
    <row r="71" spans="1:16" s="1" customFormat="1" ht="30" customHeight="1" x14ac:dyDescent="0.25">
      <c r="A71" s="39" t="s">
        <v>4</v>
      </c>
      <c r="B71" s="40">
        <f>SUM(B72:B72)</f>
        <v>70</v>
      </c>
      <c r="C71" s="41">
        <f>SUM(C72:C72)</f>
        <v>70</v>
      </c>
      <c r="D71" s="41">
        <f>SUM(D72:D72)</f>
        <v>70</v>
      </c>
      <c r="E71" s="41">
        <f>SUM(E72:E72)</f>
        <v>6</v>
      </c>
      <c r="F71" s="86">
        <f t="shared" si="51"/>
        <v>8.5714285714285715E-2</v>
      </c>
      <c r="G71" s="124">
        <f>SUM(G72:G72)</f>
        <v>28</v>
      </c>
      <c r="H71" s="125">
        <f>SUM(H72:H72)</f>
        <v>28</v>
      </c>
      <c r="I71" s="125">
        <f>SUM(I72:I72)</f>
        <v>30.457999999999998</v>
      </c>
      <c r="J71" s="125">
        <f>SUM(J72:J72)</f>
        <v>2.5</v>
      </c>
      <c r="K71" s="167">
        <f t="shared" si="53"/>
        <v>8.9285714285714288E-2</v>
      </c>
      <c r="L71" s="40">
        <f>SUM(L72:L72)</f>
        <v>42</v>
      </c>
      <c r="M71" s="41">
        <f>SUM(M72:M72)</f>
        <v>42</v>
      </c>
      <c r="N71" s="41">
        <f>SUM(N72:N72)</f>
        <v>39.542000000000002</v>
      </c>
      <c r="O71" s="41">
        <f>SUM(O72:O72)</f>
        <v>3.5</v>
      </c>
      <c r="P71" s="86">
        <f t="shared" si="57"/>
        <v>8.3333333333333329E-2</v>
      </c>
    </row>
    <row r="72" spans="1:16" s="1" customFormat="1" ht="30" customHeight="1" x14ac:dyDescent="0.25">
      <c r="A72" s="43" t="s">
        <v>19</v>
      </c>
      <c r="B72" s="14">
        <v>70</v>
      </c>
      <c r="C72" s="13">
        <v>70</v>
      </c>
      <c r="D72" s="13">
        <v>70</v>
      </c>
      <c r="E72" s="19">
        <v>6</v>
      </c>
      <c r="F72" s="87">
        <f t="shared" si="51"/>
        <v>8.5714285714285715E-2</v>
      </c>
      <c r="G72" s="176">
        <f>H72</f>
        <v>28</v>
      </c>
      <c r="H72" s="169">
        <v>28</v>
      </c>
      <c r="I72" s="169">
        <v>30.457999999999998</v>
      </c>
      <c r="J72" s="170">
        <v>2.5</v>
      </c>
      <c r="K72" s="171">
        <f t="shared" si="53"/>
        <v>8.9285714285714288E-2</v>
      </c>
      <c r="L72" s="14">
        <f>B72-G72</f>
        <v>42</v>
      </c>
      <c r="M72" s="13">
        <f t="shared" ref="M72" si="58">C72-H72</f>
        <v>42</v>
      </c>
      <c r="N72" s="13">
        <f t="shared" ref="N72" si="59">D72-I72</f>
        <v>39.542000000000002</v>
      </c>
      <c r="O72" s="19">
        <f t="shared" ref="O72" si="60">E72-J72</f>
        <v>3.5</v>
      </c>
      <c r="P72" s="87">
        <f t="shared" si="57"/>
        <v>8.3333333333333329E-2</v>
      </c>
    </row>
    <row r="73" spans="1:16" s="1" customFormat="1" ht="30" customHeight="1" x14ac:dyDescent="0.25">
      <c r="A73" s="39" t="s">
        <v>72</v>
      </c>
      <c r="B73" s="40">
        <f>SUM(B74:B74)</f>
        <v>300</v>
      </c>
      <c r="C73" s="41">
        <f>SUM(C74:C74)</f>
        <v>300</v>
      </c>
      <c r="D73" s="41">
        <f>SUM(D74:D74)</f>
        <v>300</v>
      </c>
      <c r="E73" s="41">
        <f>SUM(E74:E74)</f>
        <v>5</v>
      </c>
      <c r="F73" s="86">
        <f t="shared" si="51"/>
        <v>1.6666666666666666E-2</v>
      </c>
      <c r="G73" s="124">
        <f>SUM(G74:G74)</f>
        <v>58</v>
      </c>
      <c r="H73" s="125">
        <f>SUM(H74:H74)</f>
        <v>58</v>
      </c>
      <c r="I73" s="125">
        <f>SUM(I74:I74)</f>
        <v>58</v>
      </c>
      <c r="J73" s="125">
        <f>SUM(J74:J74)</f>
        <v>3</v>
      </c>
      <c r="K73" s="167">
        <f t="shared" si="53"/>
        <v>5.1724137931034482E-2</v>
      </c>
      <c r="L73" s="40">
        <f>SUM(L74:L74)</f>
        <v>242</v>
      </c>
      <c r="M73" s="41">
        <f>SUM(M74:M74)</f>
        <v>242</v>
      </c>
      <c r="N73" s="41">
        <f>SUM(N74:N74)</f>
        <v>242</v>
      </c>
      <c r="O73" s="41">
        <f>SUM(O74:O74)</f>
        <v>2</v>
      </c>
      <c r="P73" s="86">
        <f t="shared" si="57"/>
        <v>8.2644628099173556E-3</v>
      </c>
    </row>
    <row r="74" spans="1:16" s="1" customFormat="1" ht="30" customHeight="1" x14ac:dyDescent="0.25">
      <c r="A74" s="43" t="s">
        <v>73</v>
      </c>
      <c r="B74" s="14">
        <v>300</v>
      </c>
      <c r="C74" s="13">
        <v>300</v>
      </c>
      <c r="D74" s="13">
        <v>300</v>
      </c>
      <c r="E74" s="19">
        <v>5</v>
      </c>
      <c r="F74" s="87">
        <f t="shared" si="51"/>
        <v>1.6666666666666666E-2</v>
      </c>
      <c r="G74" s="176">
        <f>H74</f>
        <v>58</v>
      </c>
      <c r="H74" s="169">
        <v>58</v>
      </c>
      <c r="I74" s="169">
        <v>58</v>
      </c>
      <c r="J74" s="170">
        <v>3</v>
      </c>
      <c r="K74" s="171">
        <f t="shared" si="53"/>
        <v>5.1724137931034482E-2</v>
      </c>
      <c r="L74" s="14">
        <f>B74-G74</f>
        <v>242</v>
      </c>
      <c r="M74" s="13">
        <f t="shared" ref="M74:M75" si="61">C74-H74</f>
        <v>242</v>
      </c>
      <c r="N74" s="13">
        <f t="shared" ref="N74:N75" si="62">D74-I74</f>
        <v>242</v>
      </c>
      <c r="O74" s="19">
        <f t="shared" ref="O74:O75" si="63">E74-J74</f>
        <v>2</v>
      </c>
      <c r="P74" s="87">
        <f t="shared" si="57"/>
        <v>8.2644628099173556E-3</v>
      </c>
    </row>
    <row r="75" spans="1:16" s="1" customFormat="1" ht="24.75" customHeight="1" x14ac:dyDescent="0.25">
      <c r="A75" s="39"/>
      <c r="B75" s="41"/>
      <c r="C75" s="41"/>
      <c r="D75" s="41"/>
      <c r="E75" s="41"/>
      <c r="F75" s="86"/>
      <c r="G75" s="125"/>
      <c r="H75" s="125"/>
      <c r="I75" s="125"/>
      <c r="J75" s="125"/>
      <c r="K75" s="167"/>
      <c r="L75" s="41">
        <f>B75-G75</f>
        <v>0</v>
      </c>
      <c r="M75" s="41">
        <f t="shared" si="61"/>
        <v>0</v>
      </c>
      <c r="N75" s="41">
        <f t="shared" si="62"/>
        <v>0</v>
      </c>
      <c r="O75" s="41">
        <f t="shared" si="63"/>
        <v>0</v>
      </c>
      <c r="P75" s="86"/>
    </row>
    <row r="76" spans="1:16" s="1" customFormat="1" ht="24.6" customHeight="1" x14ac:dyDescent="0.25">
      <c r="A76" s="108" t="s">
        <v>64</v>
      </c>
      <c r="B76" s="63"/>
      <c r="C76" s="64"/>
      <c r="D76" s="64"/>
      <c r="E76" s="64">
        <f>E56+E62+E68+E73+E71</f>
        <v>434</v>
      </c>
      <c r="F76" s="90">
        <f>E76/C$83</f>
        <v>9.4347826086956521E-2</v>
      </c>
      <c r="G76" s="143"/>
      <c r="H76" s="144"/>
      <c r="I76" s="144"/>
      <c r="J76" s="144">
        <f>J56+J62+J68+J73+J71</f>
        <v>325.67999999999995</v>
      </c>
      <c r="K76" s="157">
        <f>J76/H$83</f>
        <v>0.16793679784623425</v>
      </c>
      <c r="L76" s="63"/>
      <c r="M76" s="64"/>
      <c r="N76" s="64"/>
      <c r="O76" s="64">
        <f>O56+O62+O68+O73</f>
        <v>97.820000000000022</v>
      </c>
      <c r="P76" s="90">
        <f>O76/M$83</f>
        <v>3.7354426759241909E-2</v>
      </c>
    </row>
    <row r="77" spans="1:16" s="1" customFormat="1" ht="30" customHeight="1" x14ac:dyDescent="0.25">
      <c r="A77" s="109" t="s">
        <v>65</v>
      </c>
      <c r="B77" s="28">
        <v>0.115</v>
      </c>
      <c r="C77" s="30"/>
      <c r="D77" s="30"/>
      <c r="E77" s="110">
        <f>(C83-C55)*B77</f>
        <v>0</v>
      </c>
      <c r="F77" s="16">
        <f t="shared" ref="F77:F79" si="64">E77/$C$83</f>
        <v>0</v>
      </c>
      <c r="G77" s="146">
        <v>0.115</v>
      </c>
      <c r="H77" s="147"/>
      <c r="I77" s="147"/>
      <c r="J77" s="148">
        <v>45.17</v>
      </c>
      <c r="K77" s="149">
        <f>J77/$H$83</f>
        <v>2.3291897441397699E-2</v>
      </c>
      <c r="L77" s="28">
        <v>0.115</v>
      </c>
      <c r="M77" s="30"/>
      <c r="N77" s="30"/>
      <c r="O77" s="110">
        <f>(M83-M69)*L77</f>
        <v>286.57505500000002</v>
      </c>
      <c r="P77" s="16">
        <f>O77/$M$83</f>
        <v>0.10943413313252115</v>
      </c>
    </row>
    <row r="78" spans="1:16" s="1" customFormat="1" ht="30" customHeight="1" x14ac:dyDescent="0.25">
      <c r="A78" s="109" t="s">
        <v>66</v>
      </c>
      <c r="B78" s="28"/>
      <c r="C78" s="30"/>
      <c r="D78" s="30"/>
      <c r="E78" s="29">
        <v>27</v>
      </c>
      <c r="F78" s="16">
        <f t="shared" si="64"/>
        <v>5.8695652173913039E-3</v>
      </c>
      <c r="G78" s="146">
        <f t="shared" ref="G78:G80" si="65">H78</f>
        <v>0</v>
      </c>
      <c r="H78" s="147"/>
      <c r="I78" s="147"/>
      <c r="J78" s="150">
        <v>-36.74</v>
      </c>
      <c r="K78" s="149">
        <f>J78/$H$83</f>
        <v>-1.8944970378502356E-2</v>
      </c>
      <c r="L78" s="28">
        <f t="shared" ref="L78:L80" si="66">M78</f>
        <v>0</v>
      </c>
      <c r="M78" s="30"/>
      <c r="N78" s="30"/>
      <c r="O78" s="29">
        <f t="shared" ref="O78:O82" si="67">E78-J78</f>
        <v>63.74</v>
      </c>
      <c r="P78" s="16">
        <f t="shared" ref="P78:P82" si="68">O78/$M$83</f>
        <v>2.4340330828399905E-2</v>
      </c>
    </row>
    <row r="79" spans="1:16" s="1" customFormat="1" ht="30" customHeight="1" x14ac:dyDescent="0.25">
      <c r="A79" s="109" t="s">
        <v>67</v>
      </c>
      <c r="B79" s="28"/>
      <c r="C79" s="30"/>
      <c r="D79" s="30"/>
      <c r="E79" s="29">
        <v>63.9</v>
      </c>
      <c r="F79" s="16">
        <f t="shared" si="64"/>
        <v>1.3891304347826086E-2</v>
      </c>
      <c r="G79" s="146">
        <f t="shared" si="65"/>
        <v>0</v>
      </c>
      <c r="H79" s="147"/>
      <c r="I79" s="147"/>
      <c r="J79" s="150">
        <f>32.77-J77-J78</f>
        <v>24.340000000000003</v>
      </c>
      <c r="K79" s="149">
        <f t="shared" ref="K79:K82" si="69">J79/$H$83</f>
        <v>1.2550913963330088E-2</v>
      </c>
      <c r="L79" s="28">
        <f t="shared" si="66"/>
        <v>0</v>
      </c>
      <c r="M79" s="30"/>
      <c r="N79" s="30"/>
      <c r="O79" s="29">
        <f t="shared" si="67"/>
        <v>39.559999999999995</v>
      </c>
      <c r="P79" s="16">
        <f t="shared" si="68"/>
        <v>1.5106738116904614E-2</v>
      </c>
    </row>
    <row r="80" spans="1:16" s="1" customFormat="1" ht="30" customHeight="1" x14ac:dyDescent="0.25">
      <c r="A80" s="109" t="s">
        <v>68</v>
      </c>
      <c r="B80" s="28"/>
      <c r="C80" s="30"/>
      <c r="D80" s="30"/>
      <c r="E80" s="29">
        <v>-55.7</v>
      </c>
      <c r="F80" s="16">
        <f>E80/$C$83</f>
        <v>-1.2108695652173913E-2</v>
      </c>
      <c r="G80" s="146">
        <f t="shared" si="65"/>
        <v>0</v>
      </c>
      <c r="H80" s="147"/>
      <c r="I80" s="147"/>
      <c r="J80" s="150">
        <f>-5.83-J81</f>
        <v>-21.83</v>
      </c>
      <c r="K80" s="149">
        <f t="shared" si="69"/>
        <v>-1.1256633188968601E-2</v>
      </c>
      <c r="L80" s="28">
        <f t="shared" si="66"/>
        <v>0</v>
      </c>
      <c r="M80" s="30"/>
      <c r="N80" s="30"/>
      <c r="O80" s="29">
        <f t="shared" si="67"/>
        <v>-33.870000000000005</v>
      </c>
      <c r="P80" s="16">
        <f t="shared" si="68"/>
        <v>-1.2933903438310398E-2</v>
      </c>
    </row>
    <row r="81" spans="1:16" s="1" customFormat="1" ht="30" customHeight="1" x14ac:dyDescent="0.25">
      <c r="A81" s="109" t="s">
        <v>69</v>
      </c>
      <c r="B81" s="28"/>
      <c r="C81" s="30"/>
      <c r="D81" s="30"/>
      <c r="E81" s="29">
        <v>16</v>
      </c>
      <c r="F81" s="16">
        <f t="shared" ref="F81:F82" si="70">E81/$C$83</f>
        <v>3.4782608695652175E-3</v>
      </c>
      <c r="G81" s="146">
        <f>SUM(G82:G82)</f>
        <v>0</v>
      </c>
      <c r="H81" s="147">
        <f>SUM(H82:H82)</f>
        <v>0</v>
      </c>
      <c r="I81" s="147">
        <f>SUM(I82:I82)</f>
        <v>0</v>
      </c>
      <c r="J81" s="150">
        <v>16</v>
      </c>
      <c r="K81" s="149">
        <f t="shared" si="69"/>
        <v>8.2503953744158323E-3</v>
      </c>
      <c r="L81" s="28">
        <f>SUM(L82:L82)</f>
        <v>0</v>
      </c>
      <c r="M81" s="30">
        <f>SUM(M82:M82)</f>
        <v>0</v>
      </c>
      <c r="N81" s="30">
        <f>SUM(N82:N82)</f>
        <v>0</v>
      </c>
      <c r="O81" s="29">
        <f t="shared" si="67"/>
        <v>0</v>
      </c>
      <c r="P81" s="16">
        <f t="shared" si="68"/>
        <v>0</v>
      </c>
    </row>
    <row r="82" spans="1:16" s="1" customFormat="1" ht="30" customHeight="1" x14ac:dyDescent="0.25">
      <c r="A82" s="109" t="s">
        <v>70</v>
      </c>
      <c r="B82" s="28"/>
      <c r="C82" s="30"/>
      <c r="D82" s="30"/>
      <c r="E82" s="29"/>
      <c r="F82" s="16">
        <f t="shared" si="70"/>
        <v>0</v>
      </c>
      <c r="G82" s="146">
        <f t="shared" ref="G82" si="71">H82</f>
        <v>0</v>
      </c>
      <c r="H82" s="147"/>
      <c r="I82" s="147"/>
      <c r="J82" s="150">
        <v>0</v>
      </c>
      <c r="K82" s="149">
        <f t="shared" si="69"/>
        <v>0</v>
      </c>
      <c r="L82" s="28">
        <f t="shared" ref="L82" si="72">M82</f>
        <v>0</v>
      </c>
      <c r="M82" s="30"/>
      <c r="N82" s="30"/>
      <c r="O82" s="29">
        <f t="shared" si="67"/>
        <v>0</v>
      </c>
      <c r="P82" s="16">
        <f t="shared" si="68"/>
        <v>0</v>
      </c>
    </row>
    <row r="83" spans="1:16" s="7" customFormat="1" ht="29.85" customHeight="1" x14ac:dyDescent="0.25">
      <c r="A83" s="71" t="s">
        <v>53</v>
      </c>
      <c r="B83" s="72">
        <f>B56+B62+B68+B73+B71</f>
        <v>4600</v>
      </c>
      <c r="C83" s="72">
        <f t="shared" ref="C83:D83" si="73">C56+C62+C68+C73+C71</f>
        <v>4600</v>
      </c>
      <c r="D83" s="72">
        <f t="shared" si="73"/>
        <v>4600</v>
      </c>
      <c r="E83" s="73">
        <f>SUM(E76:E81)</f>
        <v>485.2</v>
      </c>
      <c r="F83" s="74">
        <f>E83/C83</f>
        <v>0.10547826086956522</v>
      </c>
      <c r="G83" s="154">
        <f>G56+G62+G68+G73+G71</f>
        <v>1939.3010000000002</v>
      </c>
      <c r="H83" s="155">
        <f t="shared" ref="H83:I83" si="74">H56+H62+H68+H73+H71</f>
        <v>1939.3010000000002</v>
      </c>
      <c r="I83" s="155">
        <f t="shared" si="74"/>
        <v>2070.7359999999999</v>
      </c>
      <c r="J83" s="155">
        <f>SUM(J76:J82)</f>
        <v>352.61999999999995</v>
      </c>
      <c r="K83" s="181">
        <f>J83/H83</f>
        <v>0.1818284010579069</v>
      </c>
      <c r="L83" s="72">
        <f>L56+L62+L68+L73</f>
        <v>2618.6990000000001</v>
      </c>
      <c r="M83" s="73">
        <f>M56+M62+M68+M73</f>
        <v>2618.6990000000001</v>
      </c>
      <c r="N83" s="73">
        <f>N56+N62+N68+N73</f>
        <v>2489.7220000000002</v>
      </c>
      <c r="O83" s="73">
        <f>SUM(O76:O81)</f>
        <v>453.82505500000008</v>
      </c>
      <c r="P83" s="92">
        <f>O83/M83</f>
        <v>0.17330172539875718</v>
      </c>
    </row>
    <row r="84" spans="1:16" s="7" customFormat="1" ht="29.85" customHeight="1" thickBot="1" x14ac:dyDescent="0.3">
      <c r="A84" s="75" t="s">
        <v>5</v>
      </c>
      <c r="B84" s="82">
        <f>B83/B55</f>
        <v>1</v>
      </c>
      <c r="C84" s="83">
        <f>C83/C55</f>
        <v>1</v>
      </c>
      <c r="D84" s="83">
        <f>D83/D55</f>
        <v>1</v>
      </c>
      <c r="E84" s="83">
        <f>E83/E55</f>
        <v>1.0004123711340207</v>
      </c>
      <c r="F84" s="84"/>
      <c r="G84" s="162">
        <f>G83/G55</f>
        <v>1.0118092173913045</v>
      </c>
      <c r="H84" s="163">
        <f>H83/H55</f>
        <v>1.0118092173913045</v>
      </c>
      <c r="I84" s="163">
        <f>I83/I55</f>
        <v>1.080384</v>
      </c>
      <c r="J84" s="163">
        <f>J83/J55</f>
        <v>1.7449237113402061</v>
      </c>
      <c r="K84" s="164"/>
      <c r="L84" s="82">
        <f>L83/L55</f>
        <v>3.279066573913044</v>
      </c>
      <c r="M84" s="83">
        <f>M83/M55</f>
        <v>3.279066573913044</v>
      </c>
      <c r="N84" s="83">
        <f>N83/N55</f>
        <v>3.1175649391304354</v>
      </c>
      <c r="O84" s="83">
        <f>O83/O69</f>
        <v>54.922552946871598</v>
      </c>
      <c r="P84" s="84"/>
    </row>
    <row r="85" spans="1:16" s="1" customFormat="1" ht="24.75" customHeight="1" x14ac:dyDescent="0.25">
      <c r="A85" s="39"/>
      <c r="B85" s="93"/>
      <c r="C85" s="94"/>
      <c r="D85" s="94"/>
      <c r="E85" s="94"/>
      <c r="F85" s="95"/>
      <c r="G85" s="182"/>
      <c r="H85" s="183"/>
      <c r="I85" s="183"/>
      <c r="J85" s="183"/>
      <c r="K85" s="184"/>
      <c r="L85" s="93"/>
      <c r="M85" s="94"/>
      <c r="N85" s="94"/>
      <c r="O85" s="94"/>
      <c r="P85" s="95"/>
    </row>
    <row r="86" spans="1:16" s="116" customFormat="1" ht="29.85" customHeight="1" x14ac:dyDescent="0.25">
      <c r="A86" s="114" t="s">
        <v>54</v>
      </c>
      <c r="B86" s="32">
        <v>4200</v>
      </c>
      <c r="C86" s="33">
        <v>4000</v>
      </c>
      <c r="D86" s="33">
        <v>4000</v>
      </c>
      <c r="E86" s="33">
        <v>200</v>
      </c>
      <c r="F86" s="115">
        <f>E86/C86</f>
        <v>0.05</v>
      </c>
      <c r="G86" s="118">
        <f t="shared" ref="G86" si="75">(B86/12)*$P$1</f>
        <v>1750</v>
      </c>
      <c r="H86" s="119">
        <f t="shared" ref="H86" si="76">(C86/12)*$P$1</f>
        <v>1666.6666666666665</v>
      </c>
      <c r="I86" s="119">
        <f t="shared" ref="I86" si="77">(D86/12)*$P$1</f>
        <v>1666.6666666666665</v>
      </c>
      <c r="J86" s="119">
        <f t="shared" ref="J86" si="78">(E86/12)*$P$1</f>
        <v>83.333333333333343</v>
      </c>
      <c r="K86" s="165">
        <f t="shared" ref="K86:K91" si="79">J86/H86</f>
        <v>5.000000000000001E-2</v>
      </c>
      <c r="L86" s="33">
        <f>L87+L118</f>
        <v>2438.9435900000003</v>
      </c>
      <c r="M86" s="33">
        <f>M87+M118</f>
        <v>2238.9435900000003</v>
      </c>
      <c r="N86" s="33">
        <f>N87+N118</f>
        <v>2163.4669700000004</v>
      </c>
      <c r="O86" s="33">
        <f>O87+O118</f>
        <v>122.18629000000004</v>
      </c>
      <c r="P86" s="115">
        <f>O86/M86</f>
        <v>5.457318824187081E-2</v>
      </c>
    </row>
    <row r="87" spans="1:16" s="1" customFormat="1" ht="30" customHeight="1" x14ac:dyDescent="0.25">
      <c r="A87" s="39" t="s">
        <v>18</v>
      </c>
      <c r="B87" s="40">
        <f>SUM(B88:B91)</f>
        <v>4200</v>
      </c>
      <c r="C87" s="41">
        <f>SUM(C88:C91)</f>
        <v>4000</v>
      </c>
      <c r="D87" s="41">
        <f>SUM(D88:D91)</f>
        <v>4000</v>
      </c>
      <c r="E87" s="41">
        <f>SUM(E88:E91)</f>
        <v>226</v>
      </c>
      <c r="F87" s="86">
        <f>+E87/C87</f>
        <v>5.6500000000000002E-2</v>
      </c>
      <c r="G87" s="124">
        <f>SUM(G88:G91)</f>
        <v>1761.0564099999999</v>
      </c>
      <c r="H87" s="125">
        <f>SUM(H88:H91)</f>
        <v>1761.0564099999999</v>
      </c>
      <c r="I87" s="125">
        <f>SUM(I88:I91)</f>
        <v>1836.5330300000001</v>
      </c>
      <c r="J87" s="125">
        <f>SUM(J88:J91)</f>
        <v>103.81370999999996</v>
      </c>
      <c r="K87" s="167">
        <f t="shared" si="79"/>
        <v>5.8949678960028298E-2</v>
      </c>
      <c r="L87" s="40">
        <f>SUM(L88:L91)</f>
        <v>2438.9435900000003</v>
      </c>
      <c r="M87" s="41">
        <f>SUM(M88:M91)</f>
        <v>2238.9435900000003</v>
      </c>
      <c r="N87" s="41">
        <f>SUM(N88:N91)</f>
        <v>2163.4669700000004</v>
      </c>
      <c r="O87" s="41">
        <f>SUM(O88:O91)</f>
        <v>122.18629000000004</v>
      </c>
      <c r="P87" s="86">
        <f>+O87/M87</f>
        <v>5.457318824187081E-2</v>
      </c>
    </row>
    <row r="88" spans="1:16" s="1" customFormat="1" ht="30" customHeight="1" x14ac:dyDescent="0.25">
      <c r="A88" s="52" t="s">
        <v>55</v>
      </c>
      <c r="B88" s="23">
        <v>2800</v>
      </c>
      <c r="C88" s="24">
        <v>2600</v>
      </c>
      <c r="D88" s="24">
        <v>2600</v>
      </c>
      <c r="E88" s="25">
        <v>159</v>
      </c>
      <c r="F88" s="88">
        <f>E88/C88</f>
        <v>6.1153846153846156E-2</v>
      </c>
      <c r="G88" s="176">
        <f>H88</f>
        <v>1261.7624099999998</v>
      </c>
      <c r="H88" s="177">
        <v>1261.7624099999998</v>
      </c>
      <c r="I88" s="177">
        <v>1463.3490300000001</v>
      </c>
      <c r="J88" s="179">
        <v>57.11470999999996</v>
      </c>
      <c r="K88" s="178">
        <f t="shared" si="79"/>
        <v>4.5265819893937062E-2</v>
      </c>
      <c r="L88" s="23">
        <f t="shared" ref="L88:O91" si="80">B88-G88</f>
        <v>1538.2375900000002</v>
      </c>
      <c r="M88" s="24">
        <f t="shared" si="80"/>
        <v>1338.2375900000002</v>
      </c>
      <c r="N88" s="24">
        <f t="shared" si="80"/>
        <v>1136.6509699999999</v>
      </c>
      <c r="O88" s="25">
        <f t="shared" si="80"/>
        <v>101.88529000000004</v>
      </c>
      <c r="P88" s="88">
        <f>O88/M88</f>
        <v>7.6133932241434069E-2</v>
      </c>
    </row>
    <row r="89" spans="1:16" s="1" customFormat="1" ht="30" customHeight="1" x14ac:dyDescent="0.25">
      <c r="A89" s="52" t="s">
        <v>56</v>
      </c>
      <c r="B89" s="11">
        <v>1250</v>
      </c>
      <c r="C89" s="24">
        <v>1250</v>
      </c>
      <c r="D89" s="12">
        <v>1250</v>
      </c>
      <c r="E89" s="25">
        <v>52</v>
      </c>
      <c r="F89" s="88">
        <f>E89/C89</f>
        <v>4.1599999999999998E-2</v>
      </c>
      <c r="G89" s="168">
        <f t="shared" ref="G89:G91" si="81">H89</f>
        <v>458.40199999999999</v>
      </c>
      <c r="H89" s="177">
        <v>458.40199999999999</v>
      </c>
      <c r="I89" s="174">
        <v>332.29199999999997</v>
      </c>
      <c r="J89" s="179">
        <v>44.881999999999998</v>
      </c>
      <c r="K89" s="178">
        <f t="shared" si="79"/>
        <v>9.7909694983878776E-2</v>
      </c>
      <c r="L89" s="11">
        <f t="shared" si="80"/>
        <v>791.59799999999996</v>
      </c>
      <c r="M89" s="24">
        <f t="shared" si="80"/>
        <v>791.59799999999996</v>
      </c>
      <c r="N89" s="12">
        <f t="shared" si="80"/>
        <v>917.70800000000008</v>
      </c>
      <c r="O89" s="25">
        <f t="shared" si="80"/>
        <v>7.1180000000000021</v>
      </c>
      <c r="P89" s="88">
        <f>O89/M89</f>
        <v>8.9919378270283679E-3</v>
      </c>
    </row>
    <row r="90" spans="1:16" s="1" customFormat="1" ht="30" customHeight="1" x14ac:dyDescent="0.25">
      <c r="A90" s="43" t="s">
        <v>57</v>
      </c>
      <c r="B90" s="11">
        <v>100</v>
      </c>
      <c r="C90" s="12">
        <v>100</v>
      </c>
      <c r="D90" s="12">
        <v>100</v>
      </c>
      <c r="E90" s="18">
        <v>4</v>
      </c>
      <c r="F90" s="87">
        <f>E90/C90</f>
        <v>0.04</v>
      </c>
      <c r="G90" s="168">
        <f t="shared" si="81"/>
        <v>25.471</v>
      </c>
      <c r="H90" s="174">
        <v>25.471</v>
      </c>
      <c r="I90" s="174">
        <v>25.471</v>
      </c>
      <c r="J90" s="175">
        <v>0.92400000000000004</v>
      </c>
      <c r="K90" s="171">
        <f t="shared" si="79"/>
        <v>3.6276549801735308E-2</v>
      </c>
      <c r="L90" s="11">
        <f t="shared" si="80"/>
        <v>74.528999999999996</v>
      </c>
      <c r="M90" s="12">
        <f t="shared" si="80"/>
        <v>74.528999999999996</v>
      </c>
      <c r="N90" s="12">
        <f t="shared" si="80"/>
        <v>74.528999999999996</v>
      </c>
      <c r="O90" s="18">
        <f t="shared" si="80"/>
        <v>3.0760000000000001</v>
      </c>
      <c r="P90" s="87">
        <f>O90/M90</f>
        <v>4.1272524789008308E-2</v>
      </c>
    </row>
    <row r="91" spans="1:16" s="1" customFormat="1" ht="30" customHeight="1" x14ac:dyDescent="0.25">
      <c r="A91" s="43" t="s">
        <v>58</v>
      </c>
      <c r="B91" s="11">
        <v>50</v>
      </c>
      <c r="C91" s="12">
        <v>50</v>
      </c>
      <c r="D91" s="12">
        <v>50</v>
      </c>
      <c r="E91" s="19">
        <v>11</v>
      </c>
      <c r="F91" s="87">
        <f>E91/C91</f>
        <v>0.22</v>
      </c>
      <c r="G91" s="168">
        <f t="shared" si="81"/>
        <v>15.420999999999999</v>
      </c>
      <c r="H91" s="174">
        <v>15.420999999999999</v>
      </c>
      <c r="I91" s="174">
        <v>15.420999999999999</v>
      </c>
      <c r="J91" s="170">
        <v>0.89300000000000002</v>
      </c>
      <c r="K91" s="171">
        <f t="shared" si="79"/>
        <v>5.7908047467738803E-2</v>
      </c>
      <c r="L91" s="11">
        <f t="shared" si="80"/>
        <v>34.579000000000001</v>
      </c>
      <c r="M91" s="12">
        <f t="shared" si="80"/>
        <v>34.579000000000001</v>
      </c>
      <c r="N91" s="12">
        <f t="shared" si="80"/>
        <v>34.579000000000001</v>
      </c>
      <c r="O91" s="19">
        <f t="shared" si="80"/>
        <v>10.106999999999999</v>
      </c>
      <c r="P91" s="87">
        <f>O91/M91</f>
        <v>0.29228722635125365</v>
      </c>
    </row>
    <row r="92" spans="1:16" s="1" customFormat="1" ht="30" customHeight="1" x14ac:dyDescent="0.25">
      <c r="A92" s="52"/>
      <c r="B92" s="96"/>
      <c r="C92" s="49"/>
      <c r="D92" s="49"/>
      <c r="E92" s="50"/>
      <c r="F92" s="89"/>
      <c r="G92" s="185"/>
      <c r="H92" s="131"/>
      <c r="I92" s="131"/>
      <c r="J92" s="132"/>
      <c r="K92" s="180"/>
      <c r="L92" s="96"/>
      <c r="M92" s="49"/>
      <c r="N92" s="49"/>
      <c r="O92" s="50"/>
      <c r="P92" s="89"/>
    </row>
    <row r="93" spans="1:16" s="1" customFormat="1" ht="33.75" customHeight="1" x14ac:dyDescent="0.25">
      <c r="A93" s="108" t="s">
        <v>64</v>
      </c>
      <c r="B93" s="97"/>
      <c r="C93" s="98"/>
      <c r="D93" s="98"/>
      <c r="E93" s="98">
        <f>E87</f>
        <v>226</v>
      </c>
      <c r="F93" s="90">
        <f>E93/C$101</f>
        <v>5.6500000000000002E-2</v>
      </c>
      <c r="G93" s="186"/>
      <c r="H93" s="187"/>
      <c r="I93" s="187"/>
      <c r="J93" s="187">
        <f>SUM(J88:J91)</f>
        <v>103.81370999999996</v>
      </c>
      <c r="K93" s="157">
        <f>J93/H$101</f>
        <v>5.8949678960028298E-2</v>
      </c>
      <c r="L93" s="97"/>
      <c r="M93" s="98"/>
      <c r="N93" s="98"/>
      <c r="O93" s="98">
        <f>O87</f>
        <v>122.18629000000004</v>
      </c>
      <c r="P93" s="90">
        <f>O93/M$101</f>
        <v>5.457318824187081E-2</v>
      </c>
    </row>
    <row r="94" spans="1:16" s="1" customFormat="1" ht="30" customHeight="1" x14ac:dyDescent="0.25">
      <c r="A94" s="109" t="s">
        <v>65</v>
      </c>
      <c r="B94" s="28">
        <v>0.105</v>
      </c>
      <c r="C94" s="30"/>
      <c r="D94" s="30"/>
      <c r="E94" s="110">
        <f>(C101-C86)*B94</f>
        <v>0</v>
      </c>
      <c r="F94" s="16">
        <f t="shared" ref="F94:F96" si="82">E94/$C$101</f>
        <v>0</v>
      </c>
      <c r="G94" s="146">
        <v>0.105</v>
      </c>
      <c r="H94" s="147"/>
      <c r="I94" s="147"/>
      <c r="J94" s="148">
        <v>0.8</v>
      </c>
      <c r="K94" s="149">
        <f t="shared" ref="K94:K96" si="83">J94/$H$101</f>
        <v>4.5427278504951474E-4</v>
      </c>
      <c r="L94" s="28">
        <v>0.105</v>
      </c>
      <c r="M94" s="30"/>
      <c r="N94" s="30"/>
      <c r="O94" s="110">
        <f>(M101-M86)*L94</f>
        <v>0</v>
      </c>
      <c r="P94" s="16">
        <f>O94/$M$101</f>
        <v>0</v>
      </c>
    </row>
    <row r="95" spans="1:16" s="1" customFormat="1" ht="30" customHeight="1" x14ac:dyDescent="0.25">
      <c r="A95" s="109" t="s">
        <v>66</v>
      </c>
      <c r="B95" s="28"/>
      <c r="C95" s="30"/>
      <c r="D95" s="30"/>
      <c r="E95" s="29">
        <v>0</v>
      </c>
      <c r="F95" s="16">
        <f t="shared" si="82"/>
        <v>0</v>
      </c>
      <c r="G95" s="146">
        <f t="shared" ref="G95:G97" si="84">H95</f>
        <v>0</v>
      </c>
      <c r="H95" s="147"/>
      <c r="I95" s="147"/>
      <c r="J95" s="150">
        <v>40</v>
      </c>
      <c r="K95" s="149">
        <f t="shared" si="83"/>
        <v>2.2713639252475736E-2</v>
      </c>
      <c r="L95" s="28">
        <f t="shared" ref="L95:L97" si="85">M95</f>
        <v>0</v>
      </c>
      <c r="M95" s="30"/>
      <c r="N95" s="30"/>
      <c r="O95" s="29">
        <f t="shared" ref="O95:O99" si="86">E95-J95</f>
        <v>-40</v>
      </c>
      <c r="P95" s="16">
        <f t="shared" ref="P95:P99" si="87">O95/$M$101</f>
        <v>-1.786556846659991E-2</v>
      </c>
    </row>
    <row r="96" spans="1:16" s="1" customFormat="1" ht="30" customHeight="1" x14ac:dyDescent="0.25">
      <c r="A96" s="109" t="s">
        <v>67</v>
      </c>
      <c r="B96" s="28"/>
      <c r="C96" s="30"/>
      <c r="D96" s="30"/>
      <c r="E96" s="29">
        <v>32.5</v>
      </c>
      <c r="F96" s="16">
        <f t="shared" si="82"/>
        <v>8.1250000000000003E-3</v>
      </c>
      <c r="G96" s="146">
        <f t="shared" si="84"/>
        <v>0</v>
      </c>
      <c r="H96" s="147"/>
      <c r="I96" s="147"/>
      <c r="J96" s="150">
        <f>51.32-J94-J95</f>
        <v>10.520000000000003</v>
      </c>
      <c r="K96" s="149">
        <f t="shared" si="83"/>
        <v>5.9736871234011201E-3</v>
      </c>
      <c r="L96" s="28">
        <f t="shared" si="85"/>
        <v>0</v>
      </c>
      <c r="M96" s="30"/>
      <c r="N96" s="30"/>
      <c r="O96" s="29">
        <f t="shared" si="86"/>
        <v>21.979999999999997</v>
      </c>
      <c r="P96" s="16">
        <f t="shared" si="87"/>
        <v>9.8171298723966488E-3</v>
      </c>
    </row>
    <row r="97" spans="1:16" s="1" customFormat="1" ht="30" customHeight="1" x14ac:dyDescent="0.25">
      <c r="A97" s="109" t="s">
        <v>68</v>
      </c>
      <c r="B97" s="28"/>
      <c r="C97" s="30"/>
      <c r="D97" s="30"/>
      <c r="E97" s="29">
        <v>-48.4</v>
      </c>
      <c r="F97" s="16">
        <f>E97/$C$101</f>
        <v>-1.21E-2</v>
      </c>
      <c r="G97" s="146">
        <f t="shared" si="84"/>
        <v>0</v>
      </c>
      <c r="H97" s="147"/>
      <c r="I97" s="147"/>
      <c r="J97" s="150">
        <v>-18.989999999999998</v>
      </c>
      <c r="K97" s="149">
        <f>J97/$H$101</f>
        <v>-1.0783300235112854E-2</v>
      </c>
      <c r="L97" s="28">
        <f t="shared" si="85"/>
        <v>0</v>
      </c>
      <c r="M97" s="30"/>
      <c r="N97" s="30"/>
      <c r="O97" s="29">
        <f t="shared" si="86"/>
        <v>-29.41</v>
      </c>
      <c r="P97" s="16">
        <f t="shared" si="87"/>
        <v>-1.3135659215067583E-2</v>
      </c>
    </row>
    <row r="98" spans="1:16" s="1" customFormat="1" ht="30" customHeight="1" x14ac:dyDescent="0.25">
      <c r="A98" s="109" t="s">
        <v>69</v>
      </c>
      <c r="B98" s="28"/>
      <c r="C98" s="30"/>
      <c r="D98" s="30"/>
      <c r="E98" s="29"/>
      <c r="F98" s="16">
        <f t="shared" ref="F98:F99" si="88">E98/$C$101</f>
        <v>0</v>
      </c>
      <c r="G98" s="146">
        <f>SUM(G99:G99)</f>
        <v>0</v>
      </c>
      <c r="H98" s="147">
        <f>SUM(H99:H99)</f>
        <v>0</v>
      </c>
      <c r="I98" s="147">
        <f>SUM(I99:I99)</f>
        <v>0</v>
      </c>
      <c r="J98" s="150"/>
      <c r="K98" s="149">
        <f t="shared" ref="K98:K99" si="89">J98/$H$101</f>
        <v>0</v>
      </c>
      <c r="L98" s="28">
        <f>SUM(L99:L99)</f>
        <v>0</v>
      </c>
      <c r="M98" s="30">
        <f>SUM(M99:M99)</f>
        <v>0</v>
      </c>
      <c r="N98" s="30">
        <f>SUM(N99:N99)</f>
        <v>0</v>
      </c>
      <c r="O98" s="29">
        <f t="shared" si="86"/>
        <v>0</v>
      </c>
      <c r="P98" s="16">
        <f t="shared" si="87"/>
        <v>0</v>
      </c>
    </row>
    <row r="99" spans="1:16" s="1" customFormat="1" ht="30" customHeight="1" x14ac:dyDescent="0.25">
      <c r="A99" s="109" t="s">
        <v>70</v>
      </c>
      <c r="B99" s="28"/>
      <c r="C99" s="30"/>
      <c r="D99" s="30"/>
      <c r="E99" s="29">
        <v>-10</v>
      </c>
      <c r="F99" s="16">
        <f t="shared" si="88"/>
        <v>-2.5000000000000001E-3</v>
      </c>
      <c r="G99" s="146">
        <f t="shared" ref="G99" si="90">H99</f>
        <v>0</v>
      </c>
      <c r="H99" s="147"/>
      <c r="I99" s="147"/>
      <c r="J99" s="150"/>
      <c r="K99" s="149">
        <f t="shared" si="89"/>
        <v>0</v>
      </c>
      <c r="L99" s="28">
        <f t="shared" ref="L99" si="91">M99</f>
        <v>0</v>
      </c>
      <c r="M99" s="30"/>
      <c r="N99" s="30"/>
      <c r="O99" s="29">
        <f t="shared" si="86"/>
        <v>-10</v>
      </c>
      <c r="P99" s="16">
        <f t="shared" si="87"/>
        <v>-4.4663921166499775E-3</v>
      </c>
    </row>
    <row r="100" spans="1:16" s="1" customFormat="1" ht="30" customHeight="1" x14ac:dyDescent="0.25">
      <c r="A100" s="66"/>
      <c r="B100" s="67"/>
      <c r="C100" s="68"/>
      <c r="D100" s="68"/>
      <c r="E100" s="69"/>
      <c r="F100" s="91">
        <f>E100/C$101</f>
        <v>0</v>
      </c>
      <c r="G100" s="151"/>
      <c r="H100" s="152"/>
      <c r="I100" s="152"/>
      <c r="J100" s="153"/>
      <c r="K100" s="188">
        <f>J100/H$101</f>
        <v>0</v>
      </c>
      <c r="L100" s="67"/>
      <c r="M100" s="68"/>
      <c r="N100" s="68"/>
      <c r="O100" s="69"/>
      <c r="P100" s="91">
        <f>O100/M$101</f>
        <v>0</v>
      </c>
    </row>
    <row r="101" spans="1:16" s="1" customFormat="1" ht="29.85" customHeight="1" x14ac:dyDescent="0.25">
      <c r="A101" s="71" t="s">
        <v>59</v>
      </c>
      <c r="B101" s="72">
        <f>B87</f>
        <v>4200</v>
      </c>
      <c r="C101" s="73">
        <f>C87</f>
        <v>4000</v>
      </c>
      <c r="D101" s="73">
        <f>D87</f>
        <v>4000</v>
      </c>
      <c r="E101" s="73">
        <f>SUM(E93:E99)</f>
        <v>200.1</v>
      </c>
      <c r="F101" s="74">
        <f>E101/C101</f>
        <v>5.0025E-2</v>
      </c>
      <c r="G101" s="154">
        <f>SUM(G88:G91)</f>
        <v>1761.0564099999999</v>
      </c>
      <c r="H101" s="155">
        <f t="shared" ref="H101:I101" si="92">SUM(H88:H91)</f>
        <v>1761.0564099999999</v>
      </c>
      <c r="I101" s="155">
        <f t="shared" si="92"/>
        <v>1836.5330300000001</v>
      </c>
      <c r="J101" s="155">
        <f>SUM(J93:J99)</f>
        <v>136.14370999999997</v>
      </c>
      <c r="K101" s="181">
        <f>J101/H101</f>
        <v>7.7307977885841817E-2</v>
      </c>
      <c r="L101" s="72">
        <f>SUM(L88:L91)</f>
        <v>2438.9435900000003</v>
      </c>
      <c r="M101" s="73">
        <f t="shared" ref="M101:N101" si="93">SUM(M88:M91)</f>
        <v>2238.9435900000003</v>
      </c>
      <c r="N101" s="73">
        <f t="shared" si="93"/>
        <v>2163.4669700000004</v>
      </c>
      <c r="O101" s="73">
        <f>SUM(O93:O99)</f>
        <v>64.756290000000035</v>
      </c>
      <c r="P101" s="92">
        <f>O101/M101</f>
        <v>2.8922698315949992E-2</v>
      </c>
    </row>
    <row r="102" spans="1:16" s="1" customFormat="1" ht="29.85" customHeight="1" x14ac:dyDescent="0.25">
      <c r="A102" s="75" t="s">
        <v>5</v>
      </c>
      <c r="B102" s="72">
        <f>B101/B86</f>
        <v>1</v>
      </c>
      <c r="C102" s="73">
        <f>C101/C86</f>
        <v>1</v>
      </c>
      <c r="D102" s="73">
        <f>D101/D86</f>
        <v>1</v>
      </c>
      <c r="E102" s="73">
        <f>E101/E86</f>
        <v>1.0004999999999999</v>
      </c>
      <c r="F102" s="92"/>
      <c r="G102" s="154">
        <f>G101/G86</f>
        <v>1.0063179485714284</v>
      </c>
      <c r="H102" s="155">
        <f>H101/H86</f>
        <v>1.056633846</v>
      </c>
      <c r="I102" s="155">
        <f>I101/I86</f>
        <v>1.1019198180000001</v>
      </c>
      <c r="J102" s="155">
        <f>J101/J86</f>
        <v>1.6337245199999995</v>
      </c>
      <c r="K102" s="181"/>
      <c r="L102" s="72">
        <f>L101/L86</f>
        <v>1</v>
      </c>
      <c r="M102" s="73">
        <f>M101/M86</f>
        <v>1</v>
      </c>
      <c r="N102" s="73">
        <f>N101/N86</f>
        <v>1</v>
      </c>
      <c r="O102" s="73">
        <f>O101/O86</f>
        <v>0.5299800002111531</v>
      </c>
      <c r="P102" s="92"/>
    </row>
    <row r="103" spans="1:16" s="1" customFormat="1" ht="32.1" customHeight="1" x14ac:dyDescent="0.25">
      <c r="A103" s="81" t="s">
        <v>60</v>
      </c>
      <c r="B103" s="82">
        <f>B83+B101</f>
        <v>8800</v>
      </c>
      <c r="C103" s="83">
        <f>C83+C101</f>
        <v>8600</v>
      </c>
      <c r="D103" s="83">
        <f>D83+D101</f>
        <v>8600</v>
      </c>
      <c r="E103" s="83">
        <f>E83+E101</f>
        <v>685.3</v>
      </c>
      <c r="F103" s="84">
        <f>E103/C103</f>
        <v>7.9686046511627903E-2</v>
      </c>
      <c r="G103" s="162">
        <f>G83+G101</f>
        <v>3700.3574100000001</v>
      </c>
      <c r="H103" s="163">
        <f>H83+H101</f>
        <v>3700.3574100000001</v>
      </c>
      <c r="I103" s="163">
        <f>I83+I101</f>
        <v>3907.2690299999999</v>
      </c>
      <c r="J103" s="163">
        <f>J83+J101</f>
        <v>488.76370999999995</v>
      </c>
      <c r="K103" s="164">
        <f>J103/H103</f>
        <v>0.13208554089373759</v>
      </c>
      <c r="L103" s="82">
        <f>L83+L101</f>
        <v>5057.6425900000004</v>
      </c>
      <c r="M103" s="83">
        <f>M83+M101</f>
        <v>4857.6425900000004</v>
      </c>
      <c r="N103" s="83">
        <f>N83+N101</f>
        <v>4653.1889700000011</v>
      </c>
      <c r="O103" s="83">
        <f>O83+O101</f>
        <v>518.58134500000006</v>
      </c>
      <c r="P103" s="84">
        <f>O103/M103</f>
        <v>0.10675576380764563</v>
      </c>
    </row>
    <row r="104" spans="1:16" s="5" customFormat="1" ht="32.1" customHeight="1" thickBot="1" x14ac:dyDescent="0.3">
      <c r="A104" s="82" t="s">
        <v>5</v>
      </c>
      <c r="B104" s="82">
        <f>B103/B54</f>
        <v>1</v>
      </c>
      <c r="C104" s="83">
        <f>C103/C54</f>
        <v>1</v>
      </c>
      <c r="D104" s="83">
        <f>D103/D54</f>
        <v>1</v>
      </c>
      <c r="E104" s="83">
        <f>E103/E54</f>
        <v>1.0004379562043795</v>
      </c>
      <c r="F104" s="84"/>
      <c r="G104" s="162">
        <f>G103/G54</f>
        <v>1.0091883845454546</v>
      </c>
      <c r="H104" s="163">
        <f>H103/H54</f>
        <v>1.0326578818604653</v>
      </c>
      <c r="I104" s="163">
        <f>I103/I54</f>
        <v>1.0904006595348839</v>
      </c>
      <c r="J104" s="163">
        <f>J103/J54</f>
        <v>1.7124567941605837</v>
      </c>
      <c r="K104" s="164"/>
      <c r="L104" s="82">
        <f>L103/L54</f>
        <v>1.5621798106652052</v>
      </c>
      <c r="M104" s="83">
        <f>M103/M54</f>
        <v>1.5991950986835288</v>
      </c>
      <c r="N104" s="83">
        <f>N103/N54</f>
        <v>1.5709204290301941</v>
      </c>
      <c r="O104" s="83">
        <f>O103/O54</f>
        <v>2.5126565102715461</v>
      </c>
      <c r="P104" s="84"/>
    </row>
    <row r="105" spans="1:16" s="5" customFormat="1" ht="30" customHeight="1" x14ac:dyDescent="0.25">
      <c r="A105" s="99" t="s">
        <v>61</v>
      </c>
      <c r="B105" s="100">
        <f>B4+B54</f>
        <v>14000</v>
      </c>
      <c r="C105" s="100">
        <f>C4+C54</f>
        <v>13200</v>
      </c>
      <c r="D105" s="100">
        <f>D4+D54</f>
        <v>13200</v>
      </c>
      <c r="E105" s="100">
        <f>E4+E54</f>
        <v>1170</v>
      </c>
      <c r="F105" s="101">
        <f>E105/C105</f>
        <v>8.8636363636363638E-2</v>
      </c>
      <c r="G105" s="100">
        <f>G4+G54</f>
        <v>5833.3333333333339</v>
      </c>
      <c r="H105" s="100">
        <f>H4+H54</f>
        <v>5500</v>
      </c>
      <c r="I105" s="100">
        <f>I4+I54</f>
        <v>5500</v>
      </c>
      <c r="J105" s="100">
        <f>J4+J54</f>
        <v>487.5</v>
      </c>
      <c r="K105" s="101">
        <f>J105/H105</f>
        <v>8.8636363636363638E-2</v>
      </c>
      <c r="L105" s="100">
        <f>L4+L54</f>
        <v>6270.8880344444442</v>
      </c>
      <c r="M105" s="100">
        <f>M4+M54</f>
        <v>5720.8880344444442</v>
      </c>
      <c r="N105" s="100">
        <f>N4+N54</f>
        <v>5645.4114144444447</v>
      </c>
      <c r="O105" s="100">
        <f>O4+O54</f>
        <v>489.30434555555559</v>
      </c>
      <c r="P105" s="101">
        <f>O105/M105</f>
        <v>8.5529439242568908E-2</v>
      </c>
    </row>
    <row r="106" spans="1:16" s="5" customFormat="1" ht="44.85" customHeight="1" x14ac:dyDescent="0.25">
      <c r="A106" s="102" t="s">
        <v>62</v>
      </c>
      <c r="B106" s="103">
        <f>B51+B103</f>
        <v>13900</v>
      </c>
      <c r="C106" s="103">
        <f>C51+C103</f>
        <v>13100</v>
      </c>
      <c r="D106" s="103">
        <f>D51+D103</f>
        <v>13100</v>
      </c>
      <c r="E106" s="103">
        <f>E51+E103</f>
        <v>1122.3</v>
      </c>
      <c r="F106" s="104">
        <f>E106/C106</f>
        <v>8.567175572519084E-2</v>
      </c>
      <c r="G106" s="103">
        <f>G51+G103</f>
        <v>5921.9057730000004</v>
      </c>
      <c r="H106" s="103">
        <f>H51+H103</f>
        <v>5693.4597629999998</v>
      </c>
      <c r="I106" s="103">
        <f>I51+I103</f>
        <v>5833.3286989999997</v>
      </c>
      <c r="J106" s="103">
        <f>J51+J103</f>
        <v>630.21310999999992</v>
      </c>
      <c r="K106" s="104">
        <f>J106/H106</f>
        <v>0.11069071113763836</v>
      </c>
      <c r="L106" s="103">
        <f>L51+L103</f>
        <v>7234.5469957864716</v>
      </c>
      <c r="M106" s="103">
        <f>M51+M103</f>
        <v>6638.9930057864713</v>
      </c>
      <c r="N106" s="103">
        <f>N51+N103</f>
        <v>6504.5193704195426</v>
      </c>
      <c r="O106" s="103">
        <f>O51+O103</f>
        <v>801.28805140000009</v>
      </c>
      <c r="P106" s="104">
        <f>O106/M106</f>
        <v>0.12069421532777734</v>
      </c>
    </row>
    <row r="107" spans="1:16" s="27" customFormat="1" ht="31.35" customHeight="1" thickBot="1" x14ac:dyDescent="0.3">
      <c r="A107" s="105" t="s">
        <v>63</v>
      </c>
      <c r="B107" s="106">
        <f>+B106/B105</f>
        <v>0.99285714285714288</v>
      </c>
      <c r="C107" s="106">
        <f>+C106/C105</f>
        <v>0.99242424242424243</v>
      </c>
      <c r="D107" s="106">
        <f>+D106/D105</f>
        <v>0.99242424242424243</v>
      </c>
      <c r="E107" s="106">
        <f>+E106/E105</f>
        <v>0.95923076923076922</v>
      </c>
      <c r="F107" s="107"/>
      <c r="G107" s="106">
        <f t="shared" ref="G107:J107" si="94">+G106/G105</f>
        <v>1.0151838468000001</v>
      </c>
      <c r="H107" s="106">
        <f t="shared" si="94"/>
        <v>1.0351745023636363</v>
      </c>
      <c r="I107" s="106">
        <f t="shared" si="94"/>
        <v>1.0606052179999998</v>
      </c>
      <c r="J107" s="106">
        <f t="shared" si="94"/>
        <v>1.2927448410256408</v>
      </c>
      <c r="K107" s="107"/>
      <c r="L107" s="106">
        <v>1</v>
      </c>
      <c r="M107" s="106">
        <v>1</v>
      </c>
      <c r="N107" s="106">
        <v>1</v>
      </c>
      <c r="O107" s="106">
        <v>1</v>
      </c>
      <c r="P107" s="107"/>
    </row>
  </sheetData>
  <mergeCells count="5">
    <mergeCell ref="A1:N1"/>
    <mergeCell ref="A2:A3"/>
    <mergeCell ref="B2:F2"/>
    <mergeCell ref="G2:K2"/>
    <mergeCell ref="L2:P2"/>
  </mergeCells>
  <conditionalFormatting sqref="F5:F50">
    <cfRule type="cellIs" dxfId="11" priority="55" operator="lessThan">
      <formula>0</formula>
    </cfRule>
  </conditionalFormatting>
  <conditionalFormatting sqref="F53:F83">
    <cfRule type="cellIs" dxfId="10" priority="4" operator="lessThan">
      <formula>0</formula>
    </cfRule>
  </conditionalFormatting>
  <conditionalFormatting sqref="F85:F102">
    <cfRule type="cellIs" dxfId="9" priority="15" operator="lessThan">
      <formula>0</formula>
    </cfRule>
  </conditionalFormatting>
  <conditionalFormatting sqref="F105:F107">
    <cfRule type="cellIs" dxfId="8" priority="98" operator="lessThan">
      <formula>0</formula>
    </cfRule>
  </conditionalFormatting>
  <conditionalFormatting sqref="K4:K50">
    <cfRule type="cellIs" dxfId="7" priority="49" operator="lessThan">
      <formula>0</formula>
    </cfRule>
  </conditionalFormatting>
  <conditionalFormatting sqref="K53:K83">
    <cfRule type="cellIs" dxfId="6" priority="3" operator="lessThan">
      <formula>0</formula>
    </cfRule>
  </conditionalFormatting>
  <conditionalFormatting sqref="K85:K102">
    <cfRule type="cellIs" dxfId="5" priority="13" operator="lessThan">
      <formula>0</formula>
    </cfRule>
  </conditionalFormatting>
  <conditionalFormatting sqref="K105:K107">
    <cfRule type="cellIs" dxfId="4" priority="84" operator="lessThan">
      <formula>0</formula>
    </cfRule>
  </conditionalFormatting>
  <conditionalFormatting sqref="P4:P50">
    <cfRule type="cellIs" dxfId="3" priority="1" operator="lessThan">
      <formula>0</formula>
    </cfRule>
  </conditionalFormatting>
  <conditionalFormatting sqref="P53:P83">
    <cfRule type="cellIs" dxfId="2" priority="2" operator="lessThan">
      <formula>0</formula>
    </cfRule>
  </conditionalFormatting>
  <conditionalFormatting sqref="P85:P102">
    <cfRule type="cellIs" dxfId="1" priority="7" operator="lessThan">
      <formula>0</formula>
    </cfRule>
  </conditionalFormatting>
  <conditionalFormatting sqref="P105:P107">
    <cfRule type="cellIs" dxfId="0" priority="6" operator="lessThan">
      <formula>0</formula>
    </cfRule>
  </conditionalFormatting>
  <printOptions horizontalCentered="1"/>
  <pageMargins left="0.25" right="0.25" top="0.75" bottom="0.75" header="0.3" footer="0.3"/>
  <pageSetup paperSize="8" scale="37" fitToHeight="6" orientation="portrait" r:id="rId1"/>
  <headerFooter>
    <oddFooter>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4"/>
  <sheetViews>
    <sheetView workbookViewId="0">
      <selection activeCell="B9" sqref="B8:D9"/>
    </sheetView>
  </sheetViews>
  <sheetFormatPr baseColWidth="10" defaultRowHeight="13.8" x14ac:dyDescent="0.25"/>
  <cols>
    <col min="1" max="1" width="26.26953125" customWidth="1"/>
    <col min="2" max="2" width="30.1796875" bestFit="1" customWidth="1"/>
    <col min="3" max="3" width="25.90625" style="198" bestFit="1" customWidth="1"/>
    <col min="4" max="4" width="26.54296875" style="198" bestFit="1" customWidth="1"/>
    <col min="5" max="5" width="15.08984375" style="198" bestFit="1" customWidth="1"/>
    <col min="6" max="6" width="14.453125" style="198" bestFit="1" customWidth="1"/>
    <col min="7" max="7" width="16.81640625" style="190" bestFit="1" customWidth="1"/>
  </cols>
  <sheetData>
    <row r="1" spans="1:7" x14ac:dyDescent="0.25">
      <c r="A1" t="s">
        <v>76</v>
      </c>
      <c r="B1" t="s">
        <v>77</v>
      </c>
      <c r="C1" s="198" t="s">
        <v>78</v>
      </c>
      <c r="D1" s="198" t="s">
        <v>79</v>
      </c>
      <c r="E1" s="198" t="s">
        <v>80</v>
      </c>
      <c r="F1" s="198" t="s">
        <v>81</v>
      </c>
      <c r="G1" s="190" t="s">
        <v>82</v>
      </c>
    </row>
    <row r="2" spans="1:7" hidden="1" x14ac:dyDescent="0.25">
      <c r="A2" t="s">
        <v>31</v>
      </c>
      <c r="B2" t="s">
        <v>38</v>
      </c>
      <c r="C2" s="199">
        <v>60000</v>
      </c>
      <c r="D2" s="199">
        <v>60000</v>
      </c>
      <c r="E2" s="199">
        <v>60000</v>
      </c>
      <c r="F2" s="199">
        <v>3000</v>
      </c>
      <c r="G2" s="189">
        <f>F2/D2</f>
        <v>0.05</v>
      </c>
    </row>
    <row r="3" spans="1:7" hidden="1" x14ac:dyDescent="0.25">
      <c r="A3" t="s">
        <v>31</v>
      </c>
      <c r="B3" t="s">
        <v>39</v>
      </c>
      <c r="C3" s="199">
        <v>20000</v>
      </c>
      <c r="D3" s="199">
        <v>20000</v>
      </c>
      <c r="E3" s="199">
        <v>20000</v>
      </c>
      <c r="F3" s="199">
        <v>2000</v>
      </c>
      <c r="G3" s="189">
        <f t="shared" ref="G3:G14" si="0">F3/D3</f>
        <v>0.1</v>
      </c>
    </row>
    <row r="4" spans="1:7" hidden="1" x14ac:dyDescent="0.25">
      <c r="A4" t="s">
        <v>31</v>
      </c>
      <c r="B4" t="s">
        <v>3</v>
      </c>
      <c r="C4" s="199">
        <v>60000</v>
      </c>
      <c r="D4" s="199">
        <v>60000</v>
      </c>
      <c r="E4" s="199">
        <v>60000</v>
      </c>
      <c r="F4" s="199">
        <v>6000</v>
      </c>
      <c r="G4" s="189">
        <f t="shared" si="0"/>
        <v>0.1</v>
      </c>
    </row>
    <row r="5" spans="1:7" hidden="1" x14ac:dyDescent="0.25">
      <c r="A5" t="s">
        <v>31</v>
      </c>
      <c r="B5" t="s">
        <v>41</v>
      </c>
      <c r="C5" s="199">
        <v>140000</v>
      </c>
      <c r="D5" s="199">
        <v>100000</v>
      </c>
      <c r="E5" s="199">
        <v>100000</v>
      </c>
      <c r="F5" s="199">
        <v>8000</v>
      </c>
      <c r="G5" s="189">
        <f t="shared" si="0"/>
        <v>0.08</v>
      </c>
    </row>
    <row r="6" spans="1:7" hidden="1" x14ac:dyDescent="0.25">
      <c r="A6" t="s">
        <v>31</v>
      </c>
      <c r="B6" t="s">
        <v>40</v>
      </c>
      <c r="C6" s="199">
        <v>10000</v>
      </c>
      <c r="D6" s="199">
        <v>10000</v>
      </c>
      <c r="E6" s="199">
        <v>10000</v>
      </c>
      <c r="F6" s="199">
        <v>1000</v>
      </c>
      <c r="G6" s="189">
        <f t="shared" si="0"/>
        <v>0.1</v>
      </c>
    </row>
    <row r="7" spans="1:7" x14ac:dyDescent="0.25">
      <c r="A7" t="s">
        <v>16</v>
      </c>
      <c r="B7" t="s">
        <v>33</v>
      </c>
      <c r="C7" s="199">
        <v>200000</v>
      </c>
      <c r="D7" s="199">
        <v>200000</v>
      </c>
      <c r="E7" s="199">
        <v>200000</v>
      </c>
      <c r="F7" s="199">
        <v>2000</v>
      </c>
      <c r="G7" s="189">
        <f t="shared" si="0"/>
        <v>0.01</v>
      </c>
    </row>
    <row r="8" spans="1:7" x14ac:dyDescent="0.25">
      <c r="A8" t="s">
        <v>16</v>
      </c>
      <c r="B8" t="s">
        <v>36</v>
      </c>
      <c r="C8" s="199">
        <v>220000</v>
      </c>
      <c r="D8" s="199">
        <v>220000</v>
      </c>
      <c r="E8" s="199">
        <v>220000</v>
      </c>
      <c r="F8" s="199">
        <v>15000</v>
      </c>
      <c r="G8" s="189">
        <f t="shared" si="0"/>
        <v>6.8181818181818177E-2</v>
      </c>
    </row>
    <row r="9" spans="1:7" x14ac:dyDescent="0.25">
      <c r="A9" t="s">
        <v>16</v>
      </c>
      <c r="B9" t="s">
        <v>37</v>
      </c>
      <c r="C9" s="199">
        <v>550000</v>
      </c>
      <c r="D9" s="199">
        <v>460000</v>
      </c>
      <c r="E9" s="199">
        <v>460000</v>
      </c>
      <c r="F9" s="199">
        <v>33000</v>
      </c>
      <c r="G9" s="189">
        <f t="shared" si="0"/>
        <v>7.1739130434782611E-2</v>
      </c>
    </row>
    <row r="10" spans="1:7" x14ac:dyDescent="0.25">
      <c r="A10" t="s">
        <v>16</v>
      </c>
      <c r="B10" t="s">
        <v>17</v>
      </c>
      <c r="C10" s="199">
        <v>600000</v>
      </c>
      <c r="D10" s="199">
        <v>600000</v>
      </c>
      <c r="E10" s="199">
        <v>600000</v>
      </c>
      <c r="F10" s="199">
        <v>77600</v>
      </c>
      <c r="G10" s="189">
        <f t="shared" si="0"/>
        <v>0.12933333333333333</v>
      </c>
    </row>
    <row r="11" spans="1:7" hidden="1" x14ac:dyDescent="0.25">
      <c r="A11" t="s">
        <v>29</v>
      </c>
      <c r="B11" t="s">
        <v>32</v>
      </c>
      <c r="C11" s="199">
        <v>220000</v>
      </c>
      <c r="D11" s="199">
        <v>160000</v>
      </c>
      <c r="E11" s="199">
        <v>160000</v>
      </c>
      <c r="F11" s="199">
        <v>20000</v>
      </c>
      <c r="G11" s="189">
        <f t="shared" si="0"/>
        <v>0.125</v>
      </c>
    </row>
    <row r="12" spans="1:7" hidden="1" x14ac:dyDescent="0.25">
      <c r="A12" t="s">
        <v>20</v>
      </c>
      <c r="B12" t="s">
        <v>13</v>
      </c>
      <c r="C12" s="199">
        <v>450000</v>
      </c>
      <c r="D12" s="199">
        <v>410000</v>
      </c>
      <c r="E12" s="199">
        <v>410000</v>
      </c>
      <c r="F12" s="199">
        <v>76200</v>
      </c>
      <c r="G12" s="189">
        <f t="shared" si="0"/>
        <v>0.18585365853658536</v>
      </c>
    </row>
    <row r="13" spans="1:7" hidden="1" x14ac:dyDescent="0.25">
      <c r="A13" t="s">
        <v>20</v>
      </c>
      <c r="B13" t="s">
        <v>30</v>
      </c>
      <c r="C13" s="199">
        <v>500000</v>
      </c>
      <c r="D13" s="199">
        <v>450000</v>
      </c>
      <c r="E13" s="199">
        <v>450000</v>
      </c>
      <c r="F13" s="199">
        <v>30000</v>
      </c>
      <c r="G13" s="189">
        <f t="shared" si="0"/>
        <v>6.6666666666666666E-2</v>
      </c>
    </row>
    <row r="14" spans="1:7" hidden="1" x14ac:dyDescent="0.25">
      <c r="A14" t="s">
        <v>20</v>
      </c>
      <c r="B14" t="s">
        <v>12</v>
      </c>
      <c r="C14" s="199">
        <v>370000</v>
      </c>
      <c r="D14" s="199">
        <v>350000</v>
      </c>
      <c r="E14" s="199">
        <v>350000</v>
      </c>
      <c r="F14" s="199">
        <v>61200</v>
      </c>
      <c r="G14" s="189">
        <f t="shared" si="0"/>
        <v>0.17485714285714285</v>
      </c>
    </row>
  </sheetData>
  <autoFilter ref="A1:G14" xr:uid="{00000000-0001-0000-0100-000000000000}">
    <filterColumn colId="0">
      <filters>
        <filter val="MASMOV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Obj 2025 T1</vt:lpstr>
      <vt:lpstr>Resumen Objetivos</vt:lpstr>
      <vt:lpstr>'Obj 2025 T1'!Área_de_impresión</vt:lpstr>
      <vt:lpstr>'Obj 2025 T1'!Títulos_a_imprimir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Trujillo</dc:creator>
  <cp:lastModifiedBy>jhon fajardo rodas</cp:lastModifiedBy>
  <cp:lastPrinted>2023-03-27T18:09:21Z</cp:lastPrinted>
  <dcterms:created xsi:type="dcterms:W3CDTF">2013-04-01T10:15:04Z</dcterms:created>
  <dcterms:modified xsi:type="dcterms:W3CDTF">2025-10-19T18:09:16Z</dcterms:modified>
</cp:coreProperties>
</file>